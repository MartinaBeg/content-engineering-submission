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keyword list" sheetId="1" state="visible" r:id="rId3"/>
    <sheet name="Summary by category" sheetId="2" state="visible" r:id="rId4"/>
  </sheets>
  <definedNames>
    <definedName function="false" hidden="true" localSheetId="0" name="_xlnm._FilterDatabase" vbProcedure="false">'Master keyword list'!$A$1:$J$101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<sst xmlns="http://schemas.openxmlformats.org/spreadsheetml/2006/main" count="756" uniqueCount="305">
  <si>
    <t xml:space="preserve">Tier</t>
  </si>
  <si>
    <t xml:space="preserve">Keyword</t>
  </si>
  <si>
    <t xml:space="preserve">Category</t>
  </si>
  <si>
    <t xml:space="preserve">Monthly volume (US)</t>
  </si>
  <si>
    <t xml:space="preserve">Competition</t>
  </si>
  <si>
    <t xml:space="preserve">CPC (USD)</t>
  </si>
  <si>
    <t xml:space="preserve">Intent</t>
  </si>
  <si>
    <t xml:space="preserve">Funnel stage</t>
  </si>
  <si>
    <t xml:space="preserve">Recommended use case</t>
  </si>
  <si>
    <t xml:space="preserve">Notes</t>
  </si>
  <si>
    <t xml:space="preserve">T1</t>
  </si>
  <si>
    <t xml:space="preserve">explainable AI in finance</t>
  </si>
  <si>
    <t xml:space="preserve">Explainable &amp; Auditable AI</t>
  </si>
  <si>
    <t xml:space="preserve">Commercial</t>
  </si>
  <si>
    <t xml:space="preserve">MOFU</t>
  </si>
  <si>
    <t xml:space="preserve">Landing page H1, pillar page</t>
  </si>
  <si>
    <t xml:space="preserve">Anchor target. Low competition, no Q2C vendor in top 10.</t>
  </si>
  <si>
    <t xml:space="preserve">AI in finance</t>
  </si>
  <si>
    <t xml:space="preserve">AI for Finance (broad)</t>
  </si>
  <si>
    <t xml:space="preserve">Informational</t>
  </si>
  <si>
    <t xml:space="preserve">TOFU</t>
  </si>
  <si>
    <t xml:space="preserve">Pillar page, blog</t>
  </si>
  <si>
    <t xml:space="preserve">Head term. SERP dominated by editorial content.</t>
  </si>
  <si>
    <t xml:space="preserve">finance AI</t>
  </si>
  <si>
    <t xml:space="preserve">Synonym of above; cover same intent.</t>
  </si>
  <si>
    <t xml:space="preserve">AI for finance</t>
  </si>
  <si>
    <t xml:space="preserve">Landing page H2, solution page</t>
  </si>
  <si>
    <t xml:space="preserve">High commercial value. Use in body, H2s.</t>
  </si>
  <si>
    <t xml:space="preserve">AI for accounting</t>
  </si>
  <si>
    <t xml:space="preserve">AI for Accounting</t>
  </si>
  <si>
    <t xml:space="preserve">Solution page, blog cluster</t>
  </si>
  <si>
    <t xml:space="preserve">Strong secondary. Mix of educational + product SERP.</t>
  </si>
  <si>
    <t xml:space="preserve">accounting AI</t>
  </si>
  <si>
    <t xml:space="preserve">Head term for accounting cluster.</t>
  </si>
  <si>
    <t xml:space="preserve">AI in accounting</t>
  </si>
  <si>
    <t xml:space="preserve">Same intent as 'accounting AI'.</t>
  </si>
  <si>
    <t xml:space="preserve">AI in financial services</t>
  </si>
  <si>
    <t xml:space="preserve">Solution page, blog</t>
  </si>
  <si>
    <t xml:space="preserve">Banking-leaning intent. Address in FAQ + related content.</t>
  </si>
  <si>
    <t xml:space="preserve">AI agents in finance</t>
  </si>
  <si>
    <t xml:space="preserve">AI Agents in Finance</t>
  </si>
  <si>
    <t xml:space="preserve">BOFU</t>
  </si>
  <si>
    <t xml:space="preserve">Landing page H1, solution page</t>
  </si>
  <si>
    <t xml:space="preserve">Direct match to product. Moderate competition.</t>
  </si>
  <si>
    <t xml:space="preserve">AI agents for finance</t>
  </si>
  <si>
    <t xml:space="preserve">Landing page H1, ad copy</t>
  </si>
  <si>
    <t xml:space="preserve">Exact phrase the assignment uses. Must be on page.</t>
  </si>
  <si>
    <t xml:space="preserve">AI invoice automation</t>
  </si>
  <si>
    <t xml:space="preserve">AI Invoice &amp; AP Automation</t>
  </si>
  <si>
    <t xml:space="preserve">Capability page, ad copy</t>
  </si>
  <si>
    <t xml:space="preserve">Low competition + very high CPC. Strong quick win.</t>
  </si>
  <si>
    <t xml:space="preserve">AI billing</t>
  </si>
  <si>
    <t xml:space="preserve">AI Billing &amp; Subscription</t>
  </si>
  <si>
    <t xml:space="preserve">Very low competition. Outranks BillingPlatform at scale.</t>
  </si>
  <si>
    <t xml:space="preserve">artificial intelligence in finance</t>
  </si>
  <si>
    <t xml:space="preserve">Pillar page, glossary</t>
  </si>
  <si>
    <t xml:space="preserve">Long-form synonym. Same intent as 'AI in finance'.</t>
  </si>
  <si>
    <t xml:space="preserve">AI in accounting and finance</t>
  </si>
  <si>
    <t xml:space="preserve">Pillar page, solution page</t>
  </si>
  <si>
    <t xml:space="preserve">Bridges accounting + finance clusters.</t>
  </si>
  <si>
    <t xml:space="preserve">AI for financial services</t>
  </si>
  <si>
    <t xml:space="preserve">Solution page</t>
  </si>
  <si>
    <t xml:space="preserve">Lower-volume variant of 'AI in financial services'.</t>
  </si>
  <si>
    <t xml:space="preserve">T2</t>
  </si>
  <si>
    <t xml:space="preserve">AI for financial analysis</t>
  </si>
  <si>
    <t xml:space="preserve">Blog, capability page</t>
  </si>
  <si>
    <t xml:space="preserve">Analyst use cases. Map to allocations + audit response.</t>
  </si>
  <si>
    <t xml:space="preserve">AI applications in finance</t>
  </si>
  <si>
    <t xml:space="preserve">Blog, pillar page</t>
  </si>
  <si>
    <t xml:space="preserve">Low competition educational query.</t>
  </si>
  <si>
    <t xml:space="preserve">AI use cases in finance</t>
  </si>
  <si>
    <t xml:space="preserve">Strong fit for case-study + capability content.</t>
  </si>
  <si>
    <t xml:space="preserve">AI cfo</t>
  </si>
  <si>
    <t xml:space="preserve">AI for CFO / Finance Leaders</t>
  </si>
  <si>
    <t xml:space="preserve">Solution page, persona LP</t>
  </si>
  <si>
    <t xml:space="preserve">Persona-led search. High CPC.</t>
  </si>
  <si>
    <t xml:space="preserve">AI for cfo</t>
  </si>
  <si>
    <t xml:space="preserve">Persona LP, ad copy</t>
  </si>
  <si>
    <t xml:space="preserve">Premium CPC = strong commercial intent.</t>
  </si>
  <si>
    <t xml:space="preserve">agentic AI in finance</t>
  </si>
  <si>
    <t xml:space="preserve">Agentic AI for Finance</t>
  </si>
  <si>
    <t xml:space="preserve">Landing page, blog</t>
  </si>
  <si>
    <t xml:space="preserve">Direct category claim. Worth claiming first.</t>
  </si>
  <si>
    <t xml:space="preserve">agentic AI finance</t>
  </si>
  <si>
    <t xml:space="preserve">Landing page, ad copy</t>
  </si>
  <si>
    <t xml:space="preserve">Highest CPC ($146) in cluster. Small audience, real budget.</t>
  </si>
  <si>
    <t xml:space="preserve">agentic AI in financial services</t>
  </si>
  <si>
    <t xml:space="preserve">Broader services framing.</t>
  </si>
  <si>
    <t xml:space="preserve">agentic AI financial services</t>
  </si>
  <si>
    <t xml:space="preserve">Low competition; emerging term.</t>
  </si>
  <si>
    <t xml:space="preserve">agentic AI in banking</t>
  </si>
  <si>
    <t xml:space="preserve">Blog cluster</t>
  </si>
  <si>
    <t xml:space="preserve">Adjacent vertical. Banking case studies.</t>
  </si>
  <si>
    <t xml:space="preserve">AI for finance and accounting</t>
  </si>
  <si>
    <t xml:space="preserve">High CPC + bridges two clusters.</t>
  </si>
  <si>
    <t xml:space="preserve">AI tools for finance</t>
  </si>
  <si>
    <t xml:space="preserve">Listicle blog, comparison page</t>
  </si>
  <si>
    <t xml:space="preserve">Comparison intent. Counter against AI-native tools.</t>
  </si>
  <si>
    <t xml:space="preserve">AI tools for accounting</t>
  </si>
  <si>
    <t xml:space="preserve">Very low competition. Quick win.</t>
  </si>
  <si>
    <t xml:space="preserve">AI accounting software</t>
  </si>
  <si>
    <t xml:space="preserve">Solution page, comparison content</t>
  </si>
  <si>
    <t xml:space="preserve">Strong commercial fit.</t>
  </si>
  <si>
    <t xml:space="preserve">AI accountant</t>
  </si>
  <si>
    <t xml:space="preserve">Blog, persona content</t>
  </si>
  <si>
    <t xml:space="preserve">Persona-as-search-term.</t>
  </si>
  <si>
    <t xml:space="preserve">T3</t>
  </si>
  <si>
    <t xml:space="preserve">AI bookkeeping</t>
  </si>
  <si>
    <t xml:space="preserve">Adjacent blog content</t>
  </si>
  <si>
    <t xml:space="preserve">SMB-flavored; weaker fit for enterprise Zuora.</t>
  </si>
  <si>
    <t xml:space="preserve">AI cpa</t>
  </si>
  <si>
    <t xml:space="preserve">Blog, thought leadership</t>
  </si>
  <si>
    <t xml:space="preserve">Very low competition. Professional-services angle.</t>
  </si>
  <si>
    <t xml:space="preserve">AI for finance teams</t>
  </si>
  <si>
    <t xml:space="preserve">Landing page H2</t>
  </si>
  <si>
    <t xml:space="preserve">Niche but exact-match to the audience.</t>
  </si>
  <si>
    <t xml:space="preserve">AI for finance leaders</t>
  </si>
  <si>
    <t xml:space="preserve">Persona LP, email subject</t>
  </si>
  <si>
    <t xml:space="preserve">Low vol but exact audience match.</t>
  </si>
  <si>
    <t xml:space="preserve">finance AI agent</t>
  </si>
  <si>
    <t xml:space="preserve">Landing page, sales asset</t>
  </si>
  <si>
    <t xml:space="preserve">Singular form. Same intent as plural.</t>
  </si>
  <si>
    <t xml:space="preserve">finance AI agents</t>
  </si>
  <si>
    <t xml:space="preserve">Plural form, same intent.</t>
  </si>
  <si>
    <t xml:space="preserve">AI agent for finance</t>
  </si>
  <si>
    <t xml:space="preserve">Singular variant.</t>
  </si>
  <si>
    <t xml:space="preserve">AI in corporate finance</t>
  </si>
  <si>
    <t xml:space="preserve">Blog, enterprise content</t>
  </si>
  <si>
    <t xml:space="preserve">Enterprise-leaning.</t>
  </si>
  <si>
    <t xml:space="preserve">intelligent automation in finance</t>
  </si>
  <si>
    <t xml:space="preserve">Finance Automation (general)</t>
  </si>
  <si>
    <t xml:space="preserve">Process-automation framing. Map to Zuora workflows.</t>
  </si>
  <si>
    <t xml:space="preserve">what is agentic AI</t>
  </si>
  <si>
    <t xml:space="preserve">Question / PAA</t>
  </si>
  <si>
    <t xml:space="preserve">Glossary, FAQ schema, blog</t>
  </si>
  <si>
    <t xml:space="preserve">Massive PAA candidate. Own the definition.</t>
  </si>
  <si>
    <t xml:space="preserve">what is an AI agent</t>
  </si>
  <si>
    <t xml:space="preserve">Definitional. Strong PAA capture potential.</t>
  </si>
  <si>
    <t xml:space="preserve">what are AI agents</t>
  </si>
  <si>
    <t xml:space="preserve">Glossary, FAQ schema</t>
  </si>
  <si>
    <t xml:space="preserve">Plural form of definitional query.</t>
  </si>
  <si>
    <t xml:space="preserve">how does agentic AI work</t>
  </si>
  <si>
    <t xml:space="preserve">Blog, FAQ schema</t>
  </si>
  <si>
    <t xml:space="preserve">Mechanism explanation. Fit for product overview.</t>
  </si>
  <si>
    <t xml:space="preserve">what does agentic AI mean</t>
  </si>
  <si>
    <t xml:space="preserve">Definitional variant.</t>
  </si>
  <si>
    <t xml:space="preserve">how do AI agents work</t>
  </si>
  <si>
    <t xml:space="preserve">Mechanism query. Fit for explainability content.</t>
  </si>
  <si>
    <t xml:space="preserve">what is explainable AI</t>
  </si>
  <si>
    <t xml:space="preserve">Very low competition. Anchor for explainability content.</t>
  </si>
  <si>
    <t xml:space="preserve">how is AI used in finance</t>
  </si>
  <si>
    <t xml:space="preserve">Educational. Good FAQ entry.</t>
  </si>
  <si>
    <t xml:space="preserve">how to use AI in finance</t>
  </si>
  <si>
    <t xml:space="preserve">How-to blog, FAQ</t>
  </si>
  <si>
    <t xml:space="preserve">High competition but high intent.</t>
  </si>
  <si>
    <t xml:space="preserve">future of AI in finance</t>
  </si>
  <si>
    <t xml:space="preserve">Thought leadership blog</t>
  </si>
  <si>
    <t xml:space="preserve">Vision content. Pair with proprietary research.</t>
  </si>
  <si>
    <t xml:space="preserve">how AI reduces manual reconciliation work for finance teams</t>
  </si>
  <si>
    <t xml:space="preserve">FAQ schema, capability blog</t>
  </si>
  <si>
    <t xml:space="preserve">Direct PAA, perfect Zuora fit. Free territory.</t>
  </si>
  <si>
    <t xml:space="preserve">how to evaluate AI in finance for real value</t>
  </si>
  <si>
    <t xml:space="preserve">FAQ schema, eval guide</t>
  </si>
  <si>
    <t xml:space="preserve">Tied to Harris Poll 28% gap.</t>
  </si>
  <si>
    <t xml:space="preserve">how to evaluate readiness for AI-driven finance transformation</t>
  </si>
  <si>
    <t xml:space="preserve">Eval guide, sales asset</t>
  </si>
  <si>
    <t xml:space="preserve">Buyer-readiness content.</t>
  </si>
  <si>
    <t xml:space="preserve">can an AI assisted document review work for finance</t>
  </si>
  <si>
    <t xml:space="preserve">Blog, capability content</t>
  </si>
  <si>
    <t xml:space="preserve">Maps to audit-response capability.</t>
  </si>
  <si>
    <t xml:space="preserve">how to use AI for accounting</t>
  </si>
  <si>
    <t xml:space="preserve">How-to blog</t>
  </si>
  <si>
    <t xml:space="preserve">Practitioner intent.</t>
  </si>
  <si>
    <t xml:space="preserve">AI audit</t>
  </si>
  <si>
    <t xml:space="preserve">AI Audit &amp; Governance</t>
  </si>
  <si>
    <t xml:space="preserve">Blog, glossary, pillar page</t>
  </si>
  <si>
    <t xml:space="preserve">Audit term has dual meaning — context as 'AI audit defensibility'.</t>
  </si>
  <si>
    <t xml:space="preserve">AI auditing</t>
  </si>
  <si>
    <t xml:space="preserve">Process framing.</t>
  </si>
  <si>
    <t xml:space="preserve">AI auditor</t>
  </si>
  <si>
    <t xml:space="preserve">Blog, persona page</t>
  </si>
  <si>
    <t xml:space="preserve">Persona-framed. Address auditor audience.</t>
  </si>
  <si>
    <t xml:space="preserve">AI in auditing</t>
  </si>
  <si>
    <t xml:space="preserve">Same cluster.</t>
  </si>
  <si>
    <t xml:space="preserve">AI governance auditing</t>
  </si>
  <si>
    <t xml:space="preserve">Zero competition. Governance angle.</t>
  </si>
  <si>
    <t xml:space="preserve">AI audits</t>
  </si>
  <si>
    <t xml:space="preserve">Blog</t>
  </si>
  <si>
    <t xml:space="preserve">Plural variant.</t>
  </si>
  <si>
    <t xml:space="preserve">AI audit tools</t>
  </si>
  <si>
    <t xml:space="preserve">Comparison content</t>
  </si>
  <si>
    <t xml:space="preserve">Tools-evaluation intent.</t>
  </si>
  <si>
    <t xml:space="preserve">AI auditability</t>
  </si>
  <si>
    <t xml:space="preserve">Blog, glossary</t>
  </si>
  <si>
    <t xml:space="preserve">Direct match to Zuora 'audit-defensible' claim.</t>
  </si>
  <si>
    <t xml:space="preserve">artificial intelligence in auditing</t>
  </si>
  <si>
    <t xml:space="preserve">Long-form synonym.</t>
  </si>
  <si>
    <t xml:space="preserve">AI audit best practices</t>
  </si>
  <si>
    <t xml:space="preserve">Best-practices blog</t>
  </si>
  <si>
    <t xml:space="preserve">Zero competition. Strong fit for thought leadership.</t>
  </si>
  <si>
    <t xml:space="preserve">what is an AI audit</t>
  </si>
  <si>
    <t xml:space="preserve">Definitional.</t>
  </si>
  <si>
    <t xml:space="preserve">explainable AI methods</t>
  </si>
  <si>
    <t xml:space="preserve">Blog, technical content</t>
  </si>
  <si>
    <t xml:space="preserve">High volume, near-zero competition. Educational angle.</t>
  </si>
  <si>
    <t xml:space="preserve">AI explainability</t>
  </si>
  <si>
    <t xml:space="preserve">Glossary, blog</t>
  </si>
  <si>
    <t xml:space="preserve">Low competition; direct Zuora pillar fit.</t>
  </si>
  <si>
    <t xml:space="preserve">explainable AI tools</t>
  </si>
  <si>
    <t xml:space="preserve">Comparison blog</t>
  </si>
  <si>
    <t xml:space="preserve">Tools-evaluation.</t>
  </si>
  <si>
    <t xml:space="preserve">AI interpretability</t>
  </si>
  <si>
    <t xml:space="preserve">Technical-leaning. Adjacent vocab.</t>
  </si>
  <si>
    <t xml:space="preserve">interpretable AI</t>
  </si>
  <si>
    <t xml:space="preserve">Synonym of above.</t>
  </si>
  <si>
    <t xml:space="preserve">invoice automation</t>
  </si>
  <si>
    <t xml:space="preserve">Very high CPC. Strong commercial intent.</t>
  </si>
  <si>
    <t xml:space="preserve">AP automation</t>
  </si>
  <si>
    <t xml:space="preserve">$80 CPC; head AP term.</t>
  </si>
  <si>
    <t xml:space="preserve">accounts payable automation</t>
  </si>
  <si>
    <t xml:space="preserve">Same intent, different phrasing.</t>
  </si>
  <si>
    <t xml:space="preserve">AP automation software</t>
  </si>
  <si>
    <t xml:space="preserve">Low competition, ultra-high CPC.</t>
  </si>
  <si>
    <t xml:space="preserve">invoice automation software</t>
  </si>
  <si>
    <t xml:space="preserve">Low competition. Strong fit.</t>
  </si>
  <si>
    <t xml:space="preserve">invoice processing</t>
  </si>
  <si>
    <t xml:space="preserve">Capability page</t>
  </si>
  <si>
    <t xml:space="preserve">Broader term covering AP and AR.</t>
  </si>
  <si>
    <t xml:space="preserve">invoice processing software</t>
  </si>
  <si>
    <t xml:space="preserve">Low competition + high CPC.</t>
  </si>
  <si>
    <t xml:space="preserve">automated invoice processing</t>
  </si>
  <si>
    <t xml:space="preserve">AP invoice automation</t>
  </si>
  <si>
    <t xml:space="preserve">Highest CPC in AP cluster.</t>
  </si>
  <si>
    <t xml:space="preserve">AI powered AP automation</t>
  </si>
  <si>
    <t xml:space="preserve">Direct match (despite 'AI-powered' phrasing in copy).</t>
  </si>
  <si>
    <t xml:space="preserve">AI accounts payable</t>
  </si>
  <si>
    <t xml:space="preserve">Direct match.</t>
  </si>
  <si>
    <t xml:space="preserve">AI in accounts payable</t>
  </si>
  <si>
    <t xml:space="preserve">Very low competition.</t>
  </si>
  <si>
    <t xml:space="preserve">AI for accounts receivable</t>
  </si>
  <si>
    <t xml:space="preserve">AR cluster; small but exact fit.</t>
  </si>
  <si>
    <t xml:space="preserve">invoice processing automation</t>
  </si>
  <si>
    <t xml:space="preserve">Process-led framing.</t>
  </si>
  <si>
    <t xml:space="preserve">invoice management automation</t>
  </si>
  <si>
    <t xml:space="preserve">Zero competition. Strong quick-win.</t>
  </si>
  <si>
    <t xml:space="preserve">AI billing software</t>
  </si>
  <si>
    <t xml:space="preserve">Direct vendor-evaluation.</t>
  </si>
  <si>
    <t xml:space="preserve">AI in billing</t>
  </si>
  <si>
    <t xml:space="preserve">High competition but on-topic.</t>
  </si>
  <si>
    <t xml:space="preserve">automated billing software</t>
  </si>
  <si>
    <t xml:space="preserve">Adjacent but high CPC.</t>
  </si>
  <si>
    <t xml:space="preserve">AI revenue management</t>
  </si>
  <si>
    <t xml:space="preserve">Pricing-and-packaging adjacent.</t>
  </si>
  <si>
    <t xml:space="preserve">finance automation software</t>
  </si>
  <si>
    <t xml:space="preserve">Lowest competition + highest CPC in finance-automation cluster.</t>
  </si>
  <si>
    <t xml:space="preserve">automating finance</t>
  </si>
  <si>
    <t xml:space="preserve">accounting automation software</t>
  </si>
  <si>
    <t xml:space="preserve">automated accounting software</t>
  </si>
  <si>
    <t xml:space="preserve">Synonym.</t>
  </si>
  <si>
    <t xml:space="preserve">financial services automation</t>
  </si>
  <si>
    <t xml:space="preserve">Near-zero competition.</t>
  </si>
  <si>
    <t xml:space="preserve">intelligent automation financial services</t>
  </si>
  <si>
    <t xml:space="preserve">Blog, solution page</t>
  </si>
  <si>
    <t xml:space="preserve">Process-led.</t>
  </si>
  <si>
    <t xml:space="preserve">intelligent automation in banking</t>
  </si>
  <si>
    <t xml:space="preserve">Adjacent blog</t>
  </si>
  <si>
    <t xml:space="preserve">Banking-vertical adjacent.</t>
  </si>
  <si>
    <t xml:space="preserve">AI for revenue operations</t>
  </si>
  <si>
    <t xml:space="preserve">Revenue Recognition / ASC 606</t>
  </si>
  <si>
    <t xml:space="preserve">Body copy, positioning</t>
  </si>
  <si>
    <t xml:space="preserve">Sub-10 volume but exact RevOps fit.</t>
  </si>
  <si>
    <t xml:space="preserve">AI for accounts payable automation</t>
  </si>
  <si>
    <t xml:space="preserve">Body copy</t>
  </si>
  <si>
    <t xml:space="preserve">Strategic. AP-specific phrasing.</t>
  </si>
  <si>
    <t xml:space="preserve">finance AI assistant</t>
  </si>
  <si>
    <t xml:space="preserve">Body copy, product naming</t>
  </si>
  <si>
    <t xml:space="preserve">Niche but persona-led.</t>
  </si>
  <si>
    <t xml:space="preserve">AI for revenue recognition</t>
  </si>
  <si>
    <t xml:space="preserve">Sub-10 volume but exact match to Zuora product.</t>
  </si>
  <si>
    <t xml:space="preserve">Category summary</t>
  </si>
  <si>
    <t xml:space="preserve">Counts and volumes computed live from the Master keyword list sheet.</t>
  </si>
  <si>
    <t xml:space="preserve">Keyword count</t>
  </si>
  <si>
    <t xml:space="preserve">Total monthly volume</t>
  </si>
  <si>
    <t xml:space="preserve">Average competition</t>
  </si>
  <si>
    <t xml:space="preserve">Recommended primary use case</t>
  </si>
  <si>
    <t xml:space="preserve">Landing page H1 + ad copy</t>
  </si>
  <si>
    <t xml:space="preserve">Trust/compliance hub + FAQ schema</t>
  </si>
  <si>
    <t xml:space="preserve">Capability pages + product comparison content</t>
  </si>
  <si>
    <t xml:space="preserve">Capability sub-pages + paid ads (highest CPC)</t>
  </si>
  <si>
    <t xml:space="preserve">Solution page + comparison blog series</t>
  </si>
  <si>
    <t xml:space="preserve">Persona-led landing pages + email campaigns</t>
  </si>
  <si>
    <t xml:space="preserve">Pillar page + thought-leadership blog cluster</t>
  </si>
  <si>
    <t xml:space="preserve">Landing page + first-mover blog content</t>
  </si>
  <si>
    <t xml:space="preserve">Anchor landing page (Tier 1 SEO target) + glossary</t>
  </si>
  <si>
    <t xml:space="preserve">Solution pages + adjacent blog content</t>
  </si>
  <si>
    <t xml:space="preserve">FAQ schema (FAQPage) + glossary entries</t>
  </si>
  <si>
    <t xml:space="preserve">Body copy + product positioning</t>
  </si>
  <si>
    <t xml:space="preserve">Total</t>
  </si>
  <si>
    <t xml:space="preserve">Tier breakdown</t>
  </si>
  <si>
    <t xml:space="preserve">Definition</t>
  </si>
  <si>
    <t xml:space="preserve">Anchor targets — primary keywords the website, ads, and email campaigns lead with.</t>
  </si>
  <si>
    <t xml:space="preserve">Supporting — secondary keywords for H2/H3 sections, blog cluster, comparison content.</t>
  </si>
  <si>
    <t xml:space="preserve">Long-tail and strategic — niche use cases, FAQ schema, body copy, positioning terms.</t>
  </si>
  <si>
    <t xml:space="preserve">Methodology</t>
  </si>
  <si>
    <t xml:space="preserve">Data pulled from SEMrush MCP, US database, May 2026. 100 keywords selected from a candidate pool of ~250 via phrase_related, phrase_questions, phrase_fullsearch, and phrase_these reports across 12 seed terms (AI for finance, AI billing, AI accounting, AI revenue recognition, agentic AI finance, AI invoice processing, AI for CFO, explainable AI, AI audit, finance automation, AI agents, and adjacent terms). Filtered for relevance to Zuora AI agents for quote-to-cash. Volume and competition values are SEMrush US monthly searches. CPC is in USD.</t>
  </si>
</sst>
</file>

<file path=xl/styles.xml><?xml version="1.0" encoding="utf-8"?>
<styleSheet xmlns="http://schemas.openxmlformats.org/spreadsheetml/2006/main">
  <numFmts count="4">
    <numFmt numFmtId="164" formatCode="General"/>
    <numFmt numFmtId="165" formatCode="#,##0"/>
    <numFmt numFmtId="166" formatCode="0.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i val="true"/>
      <sz val="10"/>
      <color rgb="FF666666"/>
      <name val="Arial"/>
      <family val="0"/>
      <charset val="1"/>
    </font>
    <font>
      <b val="true"/>
      <sz val="10"/>
      <name val="Arial"/>
      <family val="0"/>
      <charset val="1"/>
    </font>
    <font>
      <b val="true"/>
      <sz val="12"/>
      <name val="Arial"/>
      <family val="0"/>
      <charset val="1"/>
    </font>
  </fonts>
  <fills count="6">
    <fill>
      <patternFill patternType="none"/>
    </fill>
    <fill>
      <patternFill patternType="gray125"/>
    </fill>
    <fill>
      <patternFill patternType="solid">
        <fgColor rgb="FF2C3E50"/>
        <bgColor rgb="FF333399"/>
      </patternFill>
    </fill>
    <fill>
      <patternFill patternType="solid">
        <fgColor rgb="FFE8F4F8"/>
        <bgColor rgb="FFF4F4F0"/>
      </patternFill>
    </fill>
    <fill>
      <patternFill patternType="solid">
        <fgColor rgb="FFF4F4F0"/>
        <bgColor rgb="FFE8F4F8"/>
      </patternFill>
    </fill>
    <fill>
      <patternFill patternType="solid">
        <fgColor rgb="FFFFFFFF"/>
        <bgColor rgb="FFF4F4F0"/>
      </patternFill>
    </fill>
  </fills>
  <borders count="2">
    <border diagonalUp="false" diagonalDown="false">
      <left/>
      <right/>
      <top/>
      <bottom/>
      <diagonal/>
    </border>
    <border diagonalUp="false" diagonalDown="false">
      <left style="thin">
        <color rgb="FFD5D5D5"/>
      </left>
      <right style="thin">
        <color rgb="FFD5D5D5"/>
      </right>
      <top style="thin">
        <color rgb="FFD5D5D5"/>
      </top>
      <bottom style="thin">
        <color rgb="FFD5D5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5" fontId="5" fillId="3" borderId="1" xfId="0" applyFont="true" applyBorder="true" applyAlignment="true" applyProtection="false">
      <alignment horizontal="right" vertical="top" textRotation="0" wrapText="false" indent="0" shrinkToFit="false"/>
      <protection locked="true" hidden="false"/>
    </xf>
    <xf numFmtId="166" fontId="5" fillId="3" borderId="1" xfId="0" applyFont="true" applyBorder="true" applyAlignment="true" applyProtection="false">
      <alignment horizontal="right" vertical="top" textRotation="0" wrapText="false" indent="0" shrinkToFit="false"/>
      <protection locked="true" hidden="false"/>
    </xf>
    <xf numFmtId="167" fontId="5" fillId="3" borderId="1" xfId="0" applyFont="true" applyBorder="true" applyAlignment="true" applyProtection="false">
      <alignment horizontal="right"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5" fontId="5" fillId="4" borderId="1" xfId="0" applyFont="true" applyBorder="true" applyAlignment="true" applyProtection="false">
      <alignment horizontal="right" vertical="top" textRotation="0" wrapText="false" indent="0" shrinkToFit="false"/>
      <protection locked="true" hidden="false"/>
    </xf>
    <xf numFmtId="166" fontId="5" fillId="4" borderId="1" xfId="0" applyFont="true" applyBorder="true" applyAlignment="true" applyProtection="false">
      <alignment horizontal="right" vertical="top" textRotation="0" wrapText="false" indent="0" shrinkToFit="false"/>
      <protection locked="true" hidden="false"/>
    </xf>
    <xf numFmtId="167" fontId="5" fillId="4"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5" fontId="5" fillId="5" borderId="1" xfId="0" applyFont="true" applyBorder="true" applyAlignment="true" applyProtection="false">
      <alignment horizontal="right" vertical="top" textRotation="0" wrapText="false" indent="0" shrinkToFit="false"/>
      <protection locked="true" hidden="false"/>
    </xf>
    <xf numFmtId="166" fontId="5" fillId="5" borderId="1" xfId="0" applyFont="true" applyBorder="true" applyAlignment="true" applyProtection="false">
      <alignment horizontal="right" vertical="top" textRotation="0" wrapText="false" indent="0" shrinkToFit="false"/>
      <protection locked="true" hidden="false"/>
    </xf>
    <xf numFmtId="167" fontId="5" fillId="5" borderId="1" xfId="0" applyFont="true" applyBorder="true" applyAlignment="true" applyProtection="false">
      <alignment horizontal="right"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6" fontId="5" fillId="0"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6" fontId="8" fillId="0" borderId="1" xfId="0" applyFont="true" applyBorder="true" applyAlignment="true" applyProtection="false">
      <alignment horizontal="right" vertical="top"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C3E50"/>
          <bgColor rgb="FF000000"/>
        </patternFill>
      </fill>
    </dxf>
    <dxf>
      <fill>
        <patternFill patternType="solid">
          <fgColor rgb="FFE8F4F8"/>
          <bgColor rgb="FF000000"/>
        </patternFill>
      </fill>
    </dxf>
    <dxf>
      <fill>
        <patternFill patternType="solid">
          <fgColor rgb="FFF4F4F0"/>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4F0"/>
      <rgbColor rgb="FFE8F4F8"/>
      <rgbColor rgb="FF660066"/>
      <rgbColor rgb="FFFF8080"/>
      <rgbColor rgb="FF0066CC"/>
      <rgbColor rgb="FFD5D5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8"/>
    <col collapsed="false" customWidth="true" hidden="false" outlineLevel="0" max="4" min="4" style="0" width="14"/>
    <col collapsed="false" customWidth="true" hidden="false" outlineLevel="0" max="5" min="5" style="0" width="12"/>
    <col collapsed="false" customWidth="true" hidden="false" outlineLevel="0" max="6" min="6" style="0" width="11"/>
    <col collapsed="false" customWidth="true" hidden="false" outlineLevel="0" max="7" min="7" style="0" width="14"/>
    <col collapsed="false" customWidth="true" hidden="false" outlineLevel="0" max="8" min="8" style="0" width="12"/>
    <col collapsed="false" customWidth="true" hidden="false" outlineLevel="0" max="9" min="9" style="0" width="38"/>
    <col collapsed="false" customWidth="true" hidden="false" outlineLevel="0" max="10" min="10" style="0" width="56"/>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s">
        <v>10</v>
      </c>
      <c r="B2" s="3" t="s">
        <v>11</v>
      </c>
      <c r="C2" s="3" t="s">
        <v>12</v>
      </c>
      <c r="D2" s="4" t="n">
        <v>6600</v>
      </c>
      <c r="E2" s="5" t="n">
        <v>0.18</v>
      </c>
      <c r="F2" s="6" t="n">
        <v>6.05</v>
      </c>
      <c r="G2" s="2" t="s">
        <v>13</v>
      </c>
      <c r="H2" s="2" t="s">
        <v>14</v>
      </c>
      <c r="I2" s="3" t="s">
        <v>15</v>
      </c>
      <c r="J2" s="3" t="s">
        <v>16</v>
      </c>
    </row>
    <row r="3" customFormat="false" ht="15" hidden="false" customHeight="false" outlineLevel="0" collapsed="false">
      <c r="A3" s="2" t="s">
        <v>10</v>
      </c>
      <c r="B3" s="3" t="s">
        <v>17</v>
      </c>
      <c r="C3" s="3" t="s">
        <v>18</v>
      </c>
      <c r="D3" s="4" t="n">
        <v>4400</v>
      </c>
      <c r="E3" s="5" t="n">
        <v>0.66</v>
      </c>
      <c r="F3" s="6" t="n">
        <v>7.88</v>
      </c>
      <c r="G3" s="2" t="s">
        <v>19</v>
      </c>
      <c r="H3" s="2" t="s">
        <v>20</v>
      </c>
      <c r="I3" s="3" t="s">
        <v>21</v>
      </c>
      <c r="J3" s="3" t="s">
        <v>22</v>
      </c>
    </row>
    <row r="4" customFormat="false" ht="15" hidden="false" customHeight="false" outlineLevel="0" collapsed="false">
      <c r="A4" s="2" t="s">
        <v>10</v>
      </c>
      <c r="B4" s="3" t="s">
        <v>23</v>
      </c>
      <c r="C4" s="3" t="s">
        <v>18</v>
      </c>
      <c r="D4" s="4" t="n">
        <v>4400</v>
      </c>
      <c r="E4" s="5" t="n">
        <v>0.66</v>
      </c>
      <c r="F4" s="6" t="n">
        <v>7.88</v>
      </c>
      <c r="G4" s="2" t="s">
        <v>19</v>
      </c>
      <c r="H4" s="2" t="s">
        <v>20</v>
      </c>
      <c r="I4" s="3" t="s">
        <v>21</v>
      </c>
      <c r="J4" s="3" t="s">
        <v>24</v>
      </c>
    </row>
    <row r="5" customFormat="false" ht="15" hidden="false" customHeight="false" outlineLevel="0" collapsed="false">
      <c r="A5" s="2" t="s">
        <v>10</v>
      </c>
      <c r="B5" s="3" t="s">
        <v>25</v>
      </c>
      <c r="C5" s="3" t="s">
        <v>18</v>
      </c>
      <c r="D5" s="4" t="n">
        <v>2400</v>
      </c>
      <c r="E5" s="5" t="n">
        <v>0.66</v>
      </c>
      <c r="F5" s="6" t="n">
        <v>7.88</v>
      </c>
      <c r="G5" s="2" t="s">
        <v>13</v>
      </c>
      <c r="H5" s="2" t="s">
        <v>14</v>
      </c>
      <c r="I5" s="3" t="s">
        <v>26</v>
      </c>
      <c r="J5" s="3" t="s">
        <v>27</v>
      </c>
    </row>
    <row r="6" customFormat="false" ht="15" hidden="false" customHeight="false" outlineLevel="0" collapsed="false">
      <c r="A6" s="2" t="s">
        <v>10</v>
      </c>
      <c r="B6" s="3" t="s">
        <v>28</v>
      </c>
      <c r="C6" s="3" t="s">
        <v>29</v>
      </c>
      <c r="D6" s="4" t="n">
        <v>1600</v>
      </c>
      <c r="E6" s="5" t="n">
        <v>0.68</v>
      </c>
      <c r="F6" s="6" t="n">
        <v>9.08</v>
      </c>
      <c r="G6" s="2" t="s">
        <v>13</v>
      </c>
      <c r="H6" s="2" t="s">
        <v>14</v>
      </c>
      <c r="I6" s="3" t="s">
        <v>30</v>
      </c>
      <c r="J6" s="3" t="s">
        <v>31</v>
      </c>
    </row>
    <row r="7" customFormat="false" ht="15" hidden="false" customHeight="false" outlineLevel="0" collapsed="false">
      <c r="A7" s="2" t="s">
        <v>10</v>
      </c>
      <c r="B7" s="3" t="s">
        <v>32</v>
      </c>
      <c r="C7" s="3" t="s">
        <v>29</v>
      </c>
      <c r="D7" s="4" t="n">
        <v>3600</v>
      </c>
      <c r="E7" s="5" t="n">
        <v>0.68</v>
      </c>
      <c r="F7" s="6" t="n">
        <v>9.08</v>
      </c>
      <c r="G7" s="2" t="s">
        <v>19</v>
      </c>
      <c r="H7" s="2" t="s">
        <v>20</v>
      </c>
      <c r="I7" s="3" t="s">
        <v>21</v>
      </c>
      <c r="J7" s="3" t="s">
        <v>33</v>
      </c>
    </row>
    <row r="8" customFormat="false" ht="15" hidden="false" customHeight="false" outlineLevel="0" collapsed="false">
      <c r="A8" s="2" t="s">
        <v>10</v>
      </c>
      <c r="B8" s="3" t="s">
        <v>34</v>
      </c>
      <c r="C8" s="3" t="s">
        <v>29</v>
      </c>
      <c r="D8" s="4" t="n">
        <v>2400</v>
      </c>
      <c r="E8" s="5" t="n">
        <v>0.68</v>
      </c>
      <c r="F8" s="6" t="n">
        <v>9.08</v>
      </c>
      <c r="G8" s="2" t="s">
        <v>19</v>
      </c>
      <c r="H8" s="2" t="s">
        <v>20</v>
      </c>
      <c r="I8" s="3" t="s">
        <v>21</v>
      </c>
      <c r="J8" s="3" t="s">
        <v>35</v>
      </c>
    </row>
    <row r="9" customFormat="false" ht="15" hidden="false" customHeight="false" outlineLevel="0" collapsed="false">
      <c r="A9" s="2" t="s">
        <v>10</v>
      </c>
      <c r="B9" s="3" t="s">
        <v>36</v>
      </c>
      <c r="C9" s="3" t="s">
        <v>18</v>
      </c>
      <c r="D9" s="4" t="n">
        <v>1300</v>
      </c>
      <c r="E9" s="5" t="n">
        <v>0.48</v>
      </c>
      <c r="F9" s="6" t="n">
        <v>9.29</v>
      </c>
      <c r="G9" s="2" t="s">
        <v>13</v>
      </c>
      <c r="H9" s="2" t="s">
        <v>14</v>
      </c>
      <c r="I9" s="3" t="s">
        <v>37</v>
      </c>
      <c r="J9" s="3" t="s">
        <v>38</v>
      </c>
    </row>
    <row r="10" customFormat="false" ht="15" hidden="false" customHeight="false" outlineLevel="0" collapsed="false">
      <c r="A10" s="2" t="s">
        <v>10</v>
      </c>
      <c r="B10" s="3" t="s">
        <v>39</v>
      </c>
      <c r="C10" s="3" t="s">
        <v>40</v>
      </c>
      <c r="D10" s="4" t="n">
        <v>590</v>
      </c>
      <c r="E10" s="5" t="n">
        <v>0.41</v>
      </c>
      <c r="F10" s="6" t="n">
        <v>11.47</v>
      </c>
      <c r="G10" s="2" t="s">
        <v>13</v>
      </c>
      <c r="H10" s="2" t="s">
        <v>41</v>
      </c>
      <c r="I10" s="3" t="s">
        <v>42</v>
      </c>
      <c r="J10" s="3" t="s">
        <v>43</v>
      </c>
    </row>
    <row r="11" customFormat="false" ht="15" hidden="false" customHeight="false" outlineLevel="0" collapsed="false">
      <c r="A11" s="2" t="s">
        <v>10</v>
      </c>
      <c r="B11" s="3" t="s">
        <v>44</v>
      </c>
      <c r="C11" s="3" t="s">
        <v>40</v>
      </c>
      <c r="D11" s="4" t="n">
        <v>210</v>
      </c>
      <c r="E11" s="5" t="n">
        <v>0.41</v>
      </c>
      <c r="F11" s="6" t="n">
        <v>12.01</v>
      </c>
      <c r="G11" s="2" t="s">
        <v>13</v>
      </c>
      <c r="H11" s="2" t="s">
        <v>41</v>
      </c>
      <c r="I11" s="3" t="s">
        <v>45</v>
      </c>
      <c r="J11" s="3" t="s">
        <v>46</v>
      </c>
    </row>
    <row r="12" customFormat="false" ht="15" hidden="false" customHeight="false" outlineLevel="0" collapsed="false">
      <c r="A12" s="2" t="s">
        <v>10</v>
      </c>
      <c r="B12" s="3" t="s">
        <v>47</v>
      </c>
      <c r="C12" s="3" t="s">
        <v>48</v>
      </c>
      <c r="D12" s="4" t="n">
        <v>390</v>
      </c>
      <c r="E12" s="5" t="n">
        <v>0.25</v>
      </c>
      <c r="F12" s="6" t="n">
        <v>22.71</v>
      </c>
      <c r="G12" s="2" t="s">
        <v>13</v>
      </c>
      <c r="H12" s="2" t="s">
        <v>41</v>
      </c>
      <c r="I12" s="3" t="s">
        <v>49</v>
      </c>
      <c r="J12" s="3" t="s">
        <v>50</v>
      </c>
    </row>
    <row r="13" customFormat="false" ht="15" hidden="false" customHeight="false" outlineLevel="0" collapsed="false">
      <c r="A13" s="2" t="s">
        <v>10</v>
      </c>
      <c r="B13" s="3" t="s">
        <v>51</v>
      </c>
      <c r="C13" s="3" t="s">
        <v>52</v>
      </c>
      <c r="D13" s="4" t="n">
        <v>210</v>
      </c>
      <c r="E13" s="5" t="n">
        <v>0.14</v>
      </c>
      <c r="F13" s="6" t="n">
        <v>14.25</v>
      </c>
      <c r="G13" s="2" t="s">
        <v>13</v>
      </c>
      <c r="H13" s="2" t="s">
        <v>41</v>
      </c>
      <c r="I13" s="3" t="s">
        <v>49</v>
      </c>
      <c r="J13" s="3" t="s">
        <v>53</v>
      </c>
    </row>
    <row r="14" customFormat="false" ht="15" hidden="false" customHeight="false" outlineLevel="0" collapsed="false">
      <c r="A14" s="2" t="s">
        <v>10</v>
      </c>
      <c r="B14" s="3" t="s">
        <v>54</v>
      </c>
      <c r="C14" s="3" t="s">
        <v>18</v>
      </c>
      <c r="D14" s="4" t="n">
        <v>1900</v>
      </c>
      <c r="E14" s="5" t="n">
        <v>0.66</v>
      </c>
      <c r="F14" s="6" t="n">
        <v>7.88</v>
      </c>
      <c r="G14" s="2" t="s">
        <v>19</v>
      </c>
      <c r="H14" s="2" t="s">
        <v>20</v>
      </c>
      <c r="I14" s="3" t="s">
        <v>55</v>
      </c>
      <c r="J14" s="3" t="s">
        <v>56</v>
      </c>
    </row>
    <row r="15" customFormat="false" ht="15" hidden="false" customHeight="false" outlineLevel="0" collapsed="false">
      <c r="A15" s="2" t="s">
        <v>10</v>
      </c>
      <c r="B15" s="3" t="s">
        <v>57</v>
      </c>
      <c r="C15" s="3" t="s">
        <v>29</v>
      </c>
      <c r="D15" s="4" t="n">
        <v>880</v>
      </c>
      <c r="E15" s="5" t="n">
        <v>0.54</v>
      </c>
      <c r="F15" s="6" t="n">
        <v>9.38</v>
      </c>
      <c r="G15" s="2" t="s">
        <v>13</v>
      </c>
      <c r="H15" s="2" t="s">
        <v>14</v>
      </c>
      <c r="I15" s="3" t="s">
        <v>58</v>
      </c>
      <c r="J15" s="3" t="s">
        <v>59</v>
      </c>
    </row>
    <row r="16" customFormat="false" ht="15" hidden="false" customHeight="false" outlineLevel="0" collapsed="false">
      <c r="A16" s="2" t="s">
        <v>10</v>
      </c>
      <c r="B16" s="3" t="s">
        <v>60</v>
      </c>
      <c r="C16" s="3" t="s">
        <v>18</v>
      </c>
      <c r="D16" s="4" t="n">
        <v>720</v>
      </c>
      <c r="E16" s="5" t="n">
        <v>0.48</v>
      </c>
      <c r="F16" s="6" t="n">
        <v>9.29</v>
      </c>
      <c r="G16" s="2" t="s">
        <v>13</v>
      </c>
      <c r="H16" s="2" t="s">
        <v>14</v>
      </c>
      <c r="I16" s="3" t="s">
        <v>61</v>
      </c>
      <c r="J16" s="3" t="s">
        <v>62</v>
      </c>
    </row>
    <row r="17" customFormat="false" ht="15" hidden="false" customHeight="false" outlineLevel="0" collapsed="false">
      <c r="A17" s="7" t="s">
        <v>63</v>
      </c>
      <c r="B17" s="8" t="s">
        <v>64</v>
      </c>
      <c r="C17" s="8" t="s">
        <v>18</v>
      </c>
      <c r="D17" s="9" t="n">
        <v>1000</v>
      </c>
      <c r="E17" s="10" t="n">
        <v>0.62</v>
      </c>
      <c r="F17" s="11" t="n">
        <v>9.87</v>
      </c>
      <c r="G17" s="7" t="s">
        <v>13</v>
      </c>
      <c r="H17" s="7" t="s">
        <v>14</v>
      </c>
      <c r="I17" s="8" t="s">
        <v>65</v>
      </c>
      <c r="J17" s="8" t="s">
        <v>66</v>
      </c>
    </row>
    <row r="18" customFormat="false" ht="15" hidden="false" customHeight="false" outlineLevel="0" collapsed="false">
      <c r="A18" s="7" t="s">
        <v>63</v>
      </c>
      <c r="B18" s="8" t="s">
        <v>67</v>
      </c>
      <c r="C18" s="8" t="s">
        <v>18</v>
      </c>
      <c r="D18" s="9" t="n">
        <v>390</v>
      </c>
      <c r="E18" s="10" t="n">
        <v>0.34</v>
      </c>
      <c r="F18" s="11" t="n">
        <v>8.49</v>
      </c>
      <c r="G18" s="7" t="s">
        <v>19</v>
      </c>
      <c r="H18" s="7" t="s">
        <v>20</v>
      </c>
      <c r="I18" s="8" t="s">
        <v>68</v>
      </c>
      <c r="J18" s="8" t="s">
        <v>69</v>
      </c>
    </row>
    <row r="19" customFormat="false" ht="15" hidden="false" customHeight="false" outlineLevel="0" collapsed="false">
      <c r="A19" s="7" t="s">
        <v>63</v>
      </c>
      <c r="B19" s="8" t="s">
        <v>70</v>
      </c>
      <c r="C19" s="8" t="s">
        <v>18</v>
      </c>
      <c r="D19" s="9" t="n">
        <v>170</v>
      </c>
      <c r="E19" s="10" t="n">
        <v>0.4</v>
      </c>
      <c r="F19" s="11" t="n">
        <v>9.74</v>
      </c>
      <c r="G19" s="7" t="s">
        <v>19</v>
      </c>
      <c r="H19" s="7" t="s">
        <v>20</v>
      </c>
      <c r="I19" s="8" t="s">
        <v>68</v>
      </c>
      <c r="J19" s="8" t="s">
        <v>71</v>
      </c>
    </row>
    <row r="20" customFormat="false" ht="15" hidden="false" customHeight="false" outlineLevel="0" collapsed="false">
      <c r="A20" s="7" t="s">
        <v>63</v>
      </c>
      <c r="B20" s="8" t="s">
        <v>72</v>
      </c>
      <c r="C20" s="8" t="s">
        <v>73</v>
      </c>
      <c r="D20" s="9" t="n">
        <v>390</v>
      </c>
      <c r="E20" s="10" t="n">
        <v>0.75</v>
      </c>
      <c r="F20" s="11" t="n">
        <v>13.67</v>
      </c>
      <c r="G20" s="7" t="s">
        <v>13</v>
      </c>
      <c r="H20" s="7" t="s">
        <v>14</v>
      </c>
      <c r="I20" s="8" t="s">
        <v>74</v>
      </c>
      <c r="J20" s="8" t="s">
        <v>75</v>
      </c>
    </row>
    <row r="21" customFormat="false" ht="15" hidden="false" customHeight="false" outlineLevel="0" collapsed="false">
      <c r="A21" s="7" t="s">
        <v>63</v>
      </c>
      <c r="B21" s="8" t="s">
        <v>76</v>
      </c>
      <c r="C21" s="8" t="s">
        <v>73</v>
      </c>
      <c r="D21" s="9" t="n">
        <v>90</v>
      </c>
      <c r="E21" s="10" t="n">
        <v>0.65</v>
      </c>
      <c r="F21" s="11" t="n">
        <v>21.23</v>
      </c>
      <c r="G21" s="7" t="s">
        <v>13</v>
      </c>
      <c r="H21" s="7" t="s">
        <v>41</v>
      </c>
      <c r="I21" s="8" t="s">
        <v>77</v>
      </c>
      <c r="J21" s="8" t="s">
        <v>78</v>
      </c>
    </row>
    <row r="22" customFormat="false" ht="15" hidden="false" customHeight="false" outlineLevel="0" collapsed="false">
      <c r="A22" s="7" t="s">
        <v>63</v>
      </c>
      <c r="B22" s="8" t="s">
        <v>79</v>
      </c>
      <c r="C22" s="8" t="s">
        <v>80</v>
      </c>
      <c r="D22" s="9" t="n">
        <v>140</v>
      </c>
      <c r="E22" s="10" t="n">
        <v>0.83</v>
      </c>
      <c r="F22" s="11" t="n">
        <v>9.95</v>
      </c>
      <c r="G22" s="7" t="s">
        <v>13</v>
      </c>
      <c r="H22" s="7" t="s">
        <v>41</v>
      </c>
      <c r="I22" s="8" t="s">
        <v>81</v>
      </c>
      <c r="J22" s="8" t="s">
        <v>82</v>
      </c>
    </row>
    <row r="23" customFormat="false" ht="15" hidden="false" customHeight="false" outlineLevel="0" collapsed="false">
      <c r="A23" s="7" t="s">
        <v>63</v>
      </c>
      <c r="B23" s="8" t="s">
        <v>83</v>
      </c>
      <c r="C23" s="8" t="s">
        <v>80</v>
      </c>
      <c r="D23" s="9" t="n">
        <v>90</v>
      </c>
      <c r="E23" s="10" t="n">
        <v>0.84</v>
      </c>
      <c r="F23" s="11" t="n">
        <v>146.56</v>
      </c>
      <c r="G23" s="7" t="s">
        <v>13</v>
      </c>
      <c r="H23" s="7" t="s">
        <v>41</v>
      </c>
      <c r="I23" s="8" t="s">
        <v>84</v>
      </c>
      <c r="J23" s="8" t="s">
        <v>85</v>
      </c>
    </row>
    <row r="24" customFormat="false" ht="15" hidden="false" customHeight="false" outlineLevel="0" collapsed="false">
      <c r="A24" s="7" t="s">
        <v>63</v>
      </c>
      <c r="B24" s="8" t="s">
        <v>86</v>
      </c>
      <c r="C24" s="8" t="s">
        <v>80</v>
      </c>
      <c r="D24" s="9" t="n">
        <v>140</v>
      </c>
      <c r="E24" s="10" t="n">
        <v>0.57</v>
      </c>
      <c r="F24" s="11" t="n">
        <v>15.89</v>
      </c>
      <c r="G24" s="7" t="s">
        <v>13</v>
      </c>
      <c r="H24" s="7" t="s">
        <v>14</v>
      </c>
      <c r="I24" s="8" t="s">
        <v>37</v>
      </c>
      <c r="J24" s="8" t="s">
        <v>87</v>
      </c>
    </row>
    <row r="25" customFormat="false" ht="15" hidden="false" customHeight="false" outlineLevel="0" collapsed="false">
      <c r="A25" s="7" t="s">
        <v>63</v>
      </c>
      <c r="B25" s="8" t="s">
        <v>88</v>
      </c>
      <c r="C25" s="8" t="s">
        <v>80</v>
      </c>
      <c r="D25" s="9" t="n">
        <v>90</v>
      </c>
      <c r="E25" s="10" t="n">
        <v>0.26</v>
      </c>
      <c r="F25" s="11" t="n">
        <v>10.07</v>
      </c>
      <c r="G25" s="7" t="s">
        <v>13</v>
      </c>
      <c r="H25" s="7" t="s">
        <v>14</v>
      </c>
      <c r="I25" s="8" t="s">
        <v>65</v>
      </c>
      <c r="J25" s="8" t="s">
        <v>89</v>
      </c>
    </row>
    <row r="26" customFormat="false" ht="15" hidden="false" customHeight="false" outlineLevel="0" collapsed="false">
      <c r="A26" s="7" t="s">
        <v>63</v>
      </c>
      <c r="B26" s="8" t="s">
        <v>90</v>
      </c>
      <c r="C26" s="8" t="s">
        <v>80</v>
      </c>
      <c r="D26" s="9" t="n">
        <v>170</v>
      </c>
      <c r="E26" s="10" t="n">
        <v>0.44</v>
      </c>
      <c r="F26" s="11" t="n">
        <v>12.18</v>
      </c>
      <c r="G26" s="7" t="s">
        <v>13</v>
      </c>
      <c r="H26" s="7" t="s">
        <v>14</v>
      </c>
      <c r="I26" s="8" t="s">
        <v>91</v>
      </c>
      <c r="J26" s="8" t="s">
        <v>92</v>
      </c>
    </row>
    <row r="27" customFormat="false" ht="15" hidden="false" customHeight="false" outlineLevel="0" collapsed="false">
      <c r="A27" s="7" t="s">
        <v>63</v>
      </c>
      <c r="B27" s="8" t="s">
        <v>93</v>
      </c>
      <c r="C27" s="8" t="s">
        <v>18</v>
      </c>
      <c r="D27" s="9" t="n">
        <v>170</v>
      </c>
      <c r="E27" s="10" t="n">
        <v>0.74</v>
      </c>
      <c r="F27" s="11" t="n">
        <v>15.78</v>
      </c>
      <c r="G27" s="7" t="s">
        <v>13</v>
      </c>
      <c r="H27" s="7" t="s">
        <v>14</v>
      </c>
      <c r="I27" s="8" t="s">
        <v>21</v>
      </c>
      <c r="J27" s="8" t="s">
        <v>94</v>
      </c>
    </row>
    <row r="28" customFormat="false" ht="15" hidden="false" customHeight="false" outlineLevel="0" collapsed="false">
      <c r="A28" s="7" t="s">
        <v>63</v>
      </c>
      <c r="B28" s="8" t="s">
        <v>95</v>
      </c>
      <c r="C28" s="8" t="s">
        <v>18</v>
      </c>
      <c r="D28" s="9" t="n">
        <v>260</v>
      </c>
      <c r="E28" s="10" t="n">
        <v>0.47</v>
      </c>
      <c r="F28" s="11" t="n">
        <v>8.92</v>
      </c>
      <c r="G28" s="7" t="s">
        <v>13</v>
      </c>
      <c r="H28" s="7" t="s">
        <v>14</v>
      </c>
      <c r="I28" s="8" t="s">
        <v>96</v>
      </c>
      <c r="J28" s="8" t="s">
        <v>97</v>
      </c>
    </row>
    <row r="29" customFormat="false" ht="15" hidden="false" customHeight="false" outlineLevel="0" collapsed="false">
      <c r="A29" s="7" t="s">
        <v>63</v>
      </c>
      <c r="B29" s="8" t="s">
        <v>98</v>
      </c>
      <c r="C29" s="8" t="s">
        <v>29</v>
      </c>
      <c r="D29" s="9" t="n">
        <v>480</v>
      </c>
      <c r="E29" s="10" t="n">
        <v>0.19</v>
      </c>
      <c r="F29" s="11" t="n">
        <v>17.7</v>
      </c>
      <c r="G29" s="7" t="s">
        <v>13</v>
      </c>
      <c r="H29" s="7" t="s">
        <v>14</v>
      </c>
      <c r="I29" s="8" t="s">
        <v>96</v>
      </c>
      <c r="J29" s="8" t="s">
        <v>99</v>
      </c>
    </row>
    <row r="30" customFormat="false" ht="15" hidden="false" customHeight="false" outlineLevel="0" collapsed="false">
      <c r="A30" s="7" t="s">
        <v>63</v>
      </c>
      <c r="B30" s="8" t="s">
        <v>100</v>
      </c>
      <c r="C30" s="8" t="s">
        <v>29</v>
      </c>
      <c r="D30" s="9" t="n">
        <v>1600</v>
      </c>
      <c r="E30" s="10" t="n">
        <v>0.36</v>
      </c>
      <c r="F30" s="11" t="n">
        <v>18.7</v>
      </c>
      <c r="G30" s="7" t="s">
        <v>13</v>
      </c>
      <c r="H30" s="7" t="s">
        <v>41</v>
      </c>
      <c r="I30" s="8" t="s">
        <v>101</v>
      </c>
      <c r="J30" s="8" t="s">
        <v>102</v>
      </c>
    </row>
    <row r="31" customFormat="false" ht="15" hidden="false" customHeight="false" outlineLevel="0" collapsed="false">
      <c r="A31" s="7" t="s">
        <v>63</v>
      </c>
      <c r="B31" s="8" t="s">
        <v>103</v>
      </c>
      <c r="C31" s="8" t="s">
        <v>29</v>
      </c>
      <c r="D31" s="9" t="n">
        <v>880</v>
      </c>
      <c r="E31" s="10" t="n">
        <v>0.68</v>
      </c>
      <c r="F31" s="11" t="n">
        <v>9.08</v>
      </c>
      <c r="G31" s="7" t="s">
        <v>19</v>
      </c>
      <c r="H31" s="7" t="s">
        <v>14</v>
      </c>
      <c r="I31" s="8" t="s">
        <v>104</v>
      </c>
      <c r="J31" s="8" t="s">
        <v>105</v>
      </c>
    </row>
    <row r="32" customFormat="false" ht="15" hidden="false" customHeight="false" outlineLevel="0" collapsed="false">
      <c r="A32" s="12" t="s">
        <v>106</v>
      </c>
      <c r="B32" s="13" t="s">
        <v>107</v>
      </c>
      <c r="C32" s="13" t="s">
        <v>29</v>
      </c>
      <c r="D32" s="14" t="n">
        <v>1000</v>
      </c>
      <c r="E32" s="15" t="n">
        <v>0.76</v>
      </c>
      <c r="F32" s="16" t="n">
        <v>17.72</v>
      </c>
      <c r="G32" s="12" t="s">
        <v>13</v>
      </c>
      <c r="H32" s="12" t="s">
        <v>14</v>
      </c>
      <c r="I32" s="13" t="s">
        <v>108</v>
      </c>
      <c r="J32" s="13" t="s">
        <v>109</v>
      </c>
    </row>
    <row r="33" customFormat="false" ht="15" hidden="false" customHeight="false" outlineLevel="0" collapsed="false">
      <c r="A33" s="12" t="s">
        <v>106</v>
      </c>
      <c r="B33" s="13" t="s">
        <v>110</v>
      </c>
      <c r="C33" s="13" t="s">
        <v>29</v>
      </c>
      <c r="D33" s="14" t="n">
        <v>1000</v>
      </c>
      <c r="E33" s="15" t="n">
        <v>0.07</v>
      </c>
      <c r="F33" s="16" t="n">
        <v>2.76</v>
      </c>
      <c r="G33" s="12" t="s">
        <v>19</v>
      </c>
      <c r="H33" s="12" t="s">
        <v>20</v>
      </c>
      <c r="I33" s="13" t="s">
        <v>111</v>
      </c>
      <c r="J33" s="13" t="s">
        <v>112</v>
      </c>
    </row>
    <row r="34" customFormat="false" ht="15" hidden="false" customHeight="false" outlineLevel="0" collapsed="false">
      <c r="A34" s="12" t="s">
        <v>106</v>
      </c>
      <c r="B34" s="13" t="s">
        <v>113</v>
      </c>
      <c r="C34" s="13" t="s">
        <v>73</v>
      </c>
      <c r="D34" s="14" t="n">
        <v>70</v>
      </c>
      <c r="E34" s="15" t="n">
        <v>0.47</v>
      </c>
      <c r="F34" s="16" t="n">
        <v>11.38</v>
      </c>
      <c r="G34" s="12" t="s">
        <v>13</v>
      </c>
      <c r="H34" s="12" t="s">
        <v>41</v>
      </c>
      <c r="I34" s="13" t="s">
        <v>114</v>
      </c>
      <c r="J34" s="13" t="s">
        <v>115</v>
      </c>
    </row>
    <row r="35" customFormat="false" ht="15" hidden="false" customHeight="false" outlineLevel="0" collapsed="false">
      <c r="A35" s="12" t="s">
        <v>106</v>
      </c>
      <c r="B35" s="13" t="s">
        <v>116</v>
      </c>
      <c r="C35" s="13" t="s">
        <v>73</v>
      </c>
      <c r="D35" s="14" t="n">
        <v>20</v>
      </c>
      <c r="E35" s="15" t="n">
        <v>0.61</v>
      </c>
      <c r="F35" s="16" t="n">
        <v>9.17</v>
      </c>
      <c r="G35" s="12" t="s">
        <v>13</v>
      </c>
      <c r="H35" s="12" t="s">
        <v>41</v>
      </c>
      <c r="I35" s="13" t="s">
        <v>117</v>
      </c>
      <c r="J35" s="13" t="s">
        <v>118</v>
      </c>
    </row>
    <row r="36" customFormat="false" ht="15" hidden="false" customHeight="false" outlineLevel="0" collapsed="false">
      <c r="A36" s="12" t="s">
        <v>106</v>
      </c>
      <c r="B36" s="13" t="s">
        <v>119</v>
      </c>
      <c r="C36" s="13" t="s">
        <v>40</v>
      </c>
      <c r="D36" s="14" t="n">
        <v>140</v>
      </c>
      <c r="E36" s="15" t="n">
        <v>0.61</v>
      </c>
      <c r="F36" s="16" t="n">
        <v>9.83</v>
      </c>
      <c r="G36" s="12" t="s">
        <v>13</v>
      </c>
      <c r="H36" s="12" t="s">
        <v>41</v>
      </c>
      <c r="I36" s="13" t="s">
        <v>120</v>
      </c>
      <c r="J36" s="13" t="s">
        <v>121</v>
      </c>
    </row>
    <row r="37" customFormat="false" ht="15" hidden="false" customHeight="false" outlineLevel="0" collapsed="false">
      <c r="A37" s="12" t="s">
        <v>106</v>
      </c>
      <c r="B37" s="13" t="s">
        <v>122</v>
      </c>
      <c r="C37" s="13" t="s">
        <v>40</v>
      </c>
      <c r="D37" s="14" t="n">
        <v>70</v>
      </c>
      <c r="E37" s="15" t="n">
        <v>0.61</v>
      </c>
      <c r="F37" s="16" t="n">
        <v>9.83</v>
      </c>
      <c r="G37" s="12" t="s">
        <v>13</v>
      </c>
      <c r="H37" s="12" t="s">
        <v>41</v>
      </c>
      <c r="I37" s="13" t="s">
        <v>120</v>
      </c>
      <c r="J37" s="13" t="s">
        <v>123</v>
      </c>
    </row>
    <row r="38" customFormat="false" ht="15" hidden="false" customHeight="false" outlineLevel="0" collapsed="false">
      <c r="A38" s="12" t="s">
        <v>106</v>
      </c>
      <c r="B38" s="13" t="s">
        <v>124</v>
      </c>
      <c r="C38" s="13" t="s">
        <v>40</v>
      </c>
      <c r="D38" s="14" t="n">
        <v>90</v>
      </c>
      <c r="E38" s="15" t="n">
        <v>0.41</v>
      </c>
      <c r="F38" s="16" t="n">
        <v>12.01</v>
      </c>
      <c r="G38" s="12" t="s">
        <v>13</v>
      </c>
      <c r="H38" s="12" t="s">
        <v>41</v>
      </c>
      <c r="I38" s="13" t="s">
        <v>84</v>
      </c>
      <c r="J38" s="13" t="s">
        <v>125</v>
      </c>
    </row>
    <row r="39" customFormat="false" ht="15" hidden="false" customHeight="false" outlineLevel="0" collapsed="false">
      <c r="A39" s="12" t="s">
        <v>106</v>
      </c>
      <c r="B39" s="13" t="s">
        <v>126</v>
      </c>
      <c r="C39" s="13" t="s">
        <v>18</v>
      </c>
      <c r="D39" s="14" t="n">
        <v>170</v>
      </c>
      <c r="E39" s="15" t="n">
        <v>0.71</v>
      </c>
      <c r="F39" s="16" t="n">
        <v>9.15</v>
      </c>
      <c r="G39" s="12" t="s">
        <v>13</v>
      </c>
      <c r="H39" s="12" t="s">
        <v>14</v>
      </c>
      <c r="I39" s="13" t="s">
        <v>127</v>
      </c>
      <c r="J39" s="13" t="s">
        <v>128</v>
      </c>
    </row>
    <row r="40" customFormat="false" ht="15" hidden="false" customHeight="false" outlineLevel="0" collapsed="false">
      <c r="A40" s="12" t="s">
        <v>106</v>
      </c>
      <c r="B40" s="13" t="s">
        <v>129</v>
      </c>
      <c r="C40" s="13" t="s">
        <v>130</v>
      </c>
      <c r="D40" s="14" t="n">
        <v>210</v>
      </c>
      <c r="E40" s="15" t="n">
        <v>0.33</v>
      </c>
      <c r="F40" s="16" t="n">
        <v>0</v>
      </c>
      <c r="G40" s="12" t="s">
        <v>13</v>
      </c>
      <c r="H40" s="12" t="s">
        <v>14</v>
      </c>
      <c r="I40" s="13" t="s">
        <v>37</v>
      </c>
      <c r="J40" s="13" t="s">
        <v>131</v>
      </c>
    </row>
    <row r="41" customFormat="false" ht="15" hidden="false" customHeight="false" outlineLevel="0" collapsed="false">
      <c r="A41" s="2" t="s">
        <v>10</v>
      </c>
      <c r="B41" s="3" t="s">
        <v>132</v>
      </c>
      <c r="C41" s="3" t="s">
        <v>133</v>
      </c>
      <c r="D41" s="4" t="n">
        <v>22200</v>
      </c>
      <c r="E41" s="5" t="n">
        <v>0.65</v>
      </c>
      <c r="F41" s="6" t="n">
        <v>4.14</v>
      </c>
      <c r="G41" s="2" t="s">
        <v>19</v>
      </c>
      <c r="H41" s="2" t="s">
        <v>20</v>
      </c>
      <c r="I41" s="3" t="s">
        <v>134</v>
      </c>
      <c r="J41" s="3" t="s">
        <v>135</v>
      </c>
    </row>
    <row r="42" customFormat="false" ht="15" hidden="false" customHeight="false" outlineLevel="0" collapsed="false">
      <c r="A42" s="2" t="s">
        <v>10</v>
      </c>
      <c r="B42" s="3" t="s">
        <v>136</v>
      </c>
      <c r="C42" s="3" t="s">
        <v>133</v>
      </c>
      <c r="D42" s="4" t="n">
        <v>9900</v>
      </c>
      <c r="E42" s="5" t="n">
        <v>0.54</v>
      </c>
      <c r="F42" s="6" t="n">
        <v>3.72</v>
      </c>
      <c r="G42" s="2" t="s">
        <v>19</v>
      </c>
      <c r="H42" s="2" t="s">
        <v>20</v>
      </c>
      <c r="I42" s="3" t="s">
        <v>134</v>
      </c>
      <c r="J42" s="3" t="s">
        <v>137</v>
      </c>
    </row>
    <row r="43" customFormat="false" ht="15" hidden="false" customHeight="false" outlineLevel="0" collapsed="false">
      <c r="A43" s="7" t="s">
        <v>63</v>
      </c>
      <c r="B43" s="8" t="s">
        <v>138</v>
      </c>
      <c r="C43" s="8" t="s">
        <v>133</v>
      </c>
      <c r="D43" s="9" t="n">
        <v>5400</v>
      </c>
      <c r="E43" s="10" t="n">
        <v>0.58</v>
      </c>
      <c r="F43" s="11" t="n">
        <v>4.33</v>
      </c>
      <c r="G43" s="7" t="s">
        <v>19</v>
      </c>
      <c r="H43" s="7" t="s">
        <v>20</v>
      </c>
      <c r="I43" s="8" t="s">
        <v>139</v>
      </c>
      <c r="J43" s="8" t="s">
        <v>140</v>
      </c>
    </row>
    <row r="44" customFormat="false" ht="15" hidden="false" customHeight="false" outlineLevel="0" collapsed="false">
      <c r="A44" s="7" t="s">
        <v>63</v>
      </c>
      <c r="B44" s="8" t="s">
        <v>141</v>
      </c>
      <c r="C44" s="8" t="s">
        <v>133</v>
      </c>
      <c r="D44" s="9" t="n">
        <v>260</v>
      </c>
      <c r="E44" s="10" t="n">
        <v>0.73</v>
      </c>
      <c r="F44" s="11" t="n">
        <v>4.16</v>
      </c>
      <c r="G44" s="7" t="s">
        <v>19</v>
      </c>
      <c r="H44" s="7" t="s">
        <v>20</v>
      </c>
      <c r="I44" s="8" t="s">
        <v>142</v>
      </c>
      <c r="J44" s="8" t="s">
        <v>143</v>
      </c>
    </row>
    <row r="45" customFormat="false" ht="15" hidden="false" customHeight="false" outlineLevel="0" collapsed="false">
      <c r="A45" s="7" t="s">
        <v>63</v>
      </c>
      <c r="B45" s="8" t="s">
        <v>144</v>
      </c>
      <c r="C45" s="8" t="s">
        <v>133</v>
      </c>
      <c r="D45" s="9" t="n">
        <v>390</v>
      </c>
      <c r="E45" s="10" t="n">
        <v>0.6</v>
      </c>
      <c r="F45" s="11" t="n">
        <v>2.75</v>
      </c>
      <c r="G45" s="7" t="s">
        <v>19</v>
      </c>
      <c r="H45" s="7" t="s">
        <v>20</v>
      </c>
      <c r="I45" s="8" t="s">
        <v>139</v>
      </c>
      <c r="J45" s="8" t="s">
        <v>145</v>
      </c>
    </row>
    <row r="46" customFormat="false" ht="15" hidden="false" customHeight="false" outlineLevel="0" collapsed="false">
      <c r="A46" s="7" t="s">
        <v>63</v>
      </c>
      <c r="B46" s="8" t="s">
        <v>146</v>
      </c>
      <c r="C46" s="8" t="s">
        <v>133</v>
      </c>
      <c r="D46" s="9" t="n">
        <v>320</v>
      </c>
      <c r="E46" s="10" t="n">
        <v>0.45</v>
      </c>
      <c r="F46" s="11" t="n">
        <v>3.64</v>
      </c>
      <c r="G46" s="7" t="s">
        <v>19</v>
      </c>
      <c r="H46" s="7" t="s">
        <v>20</v>
      </c>
      <c r="I46" s="8" t="s">
        <v>142</v>
      </c>
      <c r="J46" s="8" t="s">
        <v>147</v>
      </c>
    </row>
    <row r="47" customFormat="false" ht="15" hidden="false" customHeight="false" outlineLevel="0" collapsed="false">
      <c r="A47" s="7" t="s">
        <v>63</v>
      </c>
      <c r="B47" s="8" t="s">
        <v>148</v>
      </c>
      <c r="C47" s="8" t="s">
        <v>133</v>
      </c>
      <c r="D47" s="9" t="n">
        <v>390</v>
      </c>
      <c r="E47" s="10" t="n">
        <v>0.07</v>
      </c>
      <c r="F47" s="11" t="n">
        <v>2.38</v>
      </c>
      <c r="G47" s="7" t="s">
        <v>19</v>
      </c>
      <c r="H47" s="7" t="s">
        <v>20</v>
      </c>
      <c r="I47" s="8" t="s">
        <v>139</v>
      </c>
      <c r="J47" s="8" t="s">
        <v>149</v>
      </c>
    </row>
    <row r="48" customFormat="false" ht="15" hidden="false" customHeight="false" outlineLevel="0" collapsed="false">
      <c r="A48" s="12" t="s">
        <v>106</v>
      </c>
      <c r="B48" s="13" t="s">
        <v>150</v>
      </c>
      <c r="C48" s="13" t="s">
        <v>133</v>
      </c>
      <c r="D48" s="14" t="n">
        <v>170</v>
      </c>
      <c r="E48" s="15" t="n">
        <v>0.24</v>
      </c>
      <c r="F48" s="16" t="n">
        <v>4.8</v>
      </c>
      <c r="G48" s="12" t="s">
        <v>19</v>
      </c>
      <c r="H48" s="12" t="s">
        <v>20</v>
      </c>
      <c r="I48" s="13" t="s">
        <v>142</v>
      </c>
      <c r="J48" s="13" t="s">
        <v>151</v>
      </c>
    </row>
    <row r="49" customFormat="false" ht="15" hidden="false" customHeight="false" outlineLevel="0" collapsed="false">
      <c r="A49" s="12" t="s">
        <v>106</v>
      </c>
      <c r="B49" s="13" t="s">
        <v>152</v>
      </c>
      <c r="C49" s="13" t="s">
        <v>133</v>
      </c>
      <c r="D49" s="14" t="n">
        <v>140</v>
      </c>
      <c r="E49" s="15" t="n">
        <v>0.89</v>
      </c>
      <c r="F49" s="16" t="n">
        <v>5.66</v>
      </c>
      <c r="G49" s="12" t="s">
        <v>19</v>
      </c>
      <c r="H49" s="12" t="s">
        <v>20</v>
      </c>
      <c r="I49" s="13" t="s">
        <v>153</v>
      </c>
      <c r="J49" s="13" t="s">
        <v>154</v>
      </c>
    </row>
    <row r="50" customFormat="false" ht="15" hidden="false" customHeight="false" outlineLevel="0" collapsed="false">
      <c r="A50" s="12" t="s">
        <v>106</v>
      </c>
      <c r="B50" s="13" t="s">
        <v>155</v>
      </c>
      <c r="C50" s="13" t="s">
        <v>133</v>
      </c>
      <c r="D50" s="14" t="n">
        <v>170</v>
      </c>
      <c r="E50" s="15" t="n">
        <v>0.64</v>
      </c>
      <c r="F50" s="16" t="n">
        <v>5.69</v>
      </c>
      <c r="G50" s="12" t="s">
        <v>19</v>
      </c>
      <c r="H50" s="12" t="s">
        <v>20</v>
      </c>
      <c r="I50" s="13" t="s">
        <v>156</v>
      </c>
      <c r="J50" s="13" t="s">
        <v>157</v>
      </c>
    </row>
    <row r="51" customFormat="false" ht="15" hidden="false" customHeight="false" outlineLevel="0" collapsed="false">
      <c r="A51" s="12" t="s">
        <v>106</v>
      </c>
      <c r="B51" s="13" t="s">
        <v>158</v>
      </c>
      <c r="C51" s="13" t="s">
        <v>133</v>
      </c>
      <c r="D51" s="14" t="n">
        <v>30</v>
      </c>
      <c r="E51" s="15" t="n">
        <v>0</v>
      </c>
      <c r="F51" s="16" t="n">
        <v>0</v>
      </c>
      <c r="G51" s="12" t="s">
        <v>13</v>
      </c>
      <c r="H51" s="12" t="s">
        <v>41</v>
      </c>
      <c r="I51" s="13" t="s">
        <v>159</v>
      </c>
      <c r="J51" s="13" t="s">
        <v>160</v>
      </c>
    </row>
    <row r="52" customFormat="false" ht="15" hidden="false" customHeight="false" outlineLevel="0" collapsed="false">
      <c r="A52" s="12" t="s">
        <v>106</v>
      </c>
      <c r="B52" s="13" t="s">
        <v>161</v>
      </c>
      <c r="C52" s="13" t="s">
        <v>133</v>
      </c>
      <c r="D52" s="14" t="n">
        <v>10</v>
      </c>
      <c r="E52" s="15" t="n">
        <v>0</v>
      </c>
      <c r="F52" s="16" t="n">
        <v>0</v>
      </c>
      <c r="G52" s="12" t="s">
        <v>13</v>
      </c>
      <c r="H52" s="12" t="s">
        <v>14</v>
      </c>
      <c r="I52" s="13" t="s">
        <v>162</v>
      </c>
      <c r="J52" s="13" t="s">
        <v>163</v>
      </c>
    </row>
    <row r="53" customFormat="false" ht="15" hidden="false" customHeight="false" outlineLevel="0" collapsed="false">
      <c r="A53" s="12" t="s">
        <v>106</v>
      </c>
      <c r="B53" s="13" t="s">
        <v>164</v>
      </c>
      <c r="C53" s="13" t="s">
        <v>133</v>
      </c>
      <c r="D53" s="14" t="n">
        <v>10</v>
      </c>
      <c r="E53" s="15" t="n">
        <v>0</v>
      </c>
      <c r="F53" s="16" t="n">
        <v>0</v>
      </c>
      <c r="G53" s="12" t="s">
        <v>13</v>
      </c>
      <c r="H53" s="12" t="s">
        <v>14</v>
      </c>
      <c r="I53" s="13" t="s">
        <v>165</v>
      </c>
      <c r="J53" s="13" t="s">
        <v>166</v>
      </c>
    </row>
    <row r="54" customFormat="false" ht="15" hidden="false" customHeight="false" outlineLevel="0" collapsed="false">
      <c r="A54" s="12" t="s">
        <v>106</v>
      </c>
      <c r="B54" s="13" t="s">
        <v>167</v>
      </c>
      <c r="C54" s="13" t="s">
        <v>133</v>
      </c>
      <c r="D54" s="14" t="n">
        <v>50</v>
      </c>
      <c r="E54" s="15" t="n">
        <v>0</v>
      </c>
      <c r="F54" s="16" t="n">
        <v>0</v>
      </c>
      <c r="G54" s="12" t="s">
        <v>19</v>
      </c>
      <c r="H54" s="12" t="s">
        <v>14</v>
      </c>
      <c r="I54" s="13" t="s">
        <v>168</v>
      </c>
      <c r="J54" s="13" t="s">
        <v>169</v>
      </c>
    </row>
    <row r="55" customFormat="false" ht="15" hidden="false" customHeight="false" outlineLevel="0" collapsed="false">
      <c r="A55" s="12" t="s">
        <v>106</v>
      </c>
      <c r="B55" s="13" t="s">
        <v>170</v>
      </c>
      <c r="C55" s="13" t="s">
        <v>133</v>
      </c>
      <c r="D55" s="14" t="n">
        <v>70</v>
      </c>
      <c r="E55" s="15" t="n">
        <v>0.79</v>
      </c>
      <c r="F55" s="16" t="n">
        <v>6.99</v>
      </c>
      <c r="G55" s="12" t="s">
        <v>19</v>
      </c>
      <c r="H55" s="12" t="s">
        <v>14</v>
      </c>
      <c r="I55" s="13" t="s">
        <v>171</v>
      </c>
      <c r="J55" s="13" t="s">
        <v>172</v>
      </c>
    </row>
    <row r="56" customFormat="false" ht="15" hidden="false" customHeight="false" outlineLevel="0" collapsed="false">
      <c r="A56" s="2" t="s">
        <v>10</v>
      </c>
      <c r="B56" s="3" t="s">
        <v>173</v>
      </c>
      <c r="C56" s="3" t="s">
        <v>174</v>
      </c>
      <c r="D56" s="4" t="n">
        <v>880</v>
      </c>
      <c r="E56" s="5" t="n">
        <v>0.59</v>
      </c>
      <c r="F56" s="6" t="n">
        <v>8.36</v>
      </c>
      <c r="G56" s="2" t="s">
        <v>19</v>
      </c>
      <c r="H56" s="2" t="s">
        <v>14</v>
      </c>
      <c r="I56" s="3" t="s">
        <v>175</v>
      </c>
      <c r="J56" s="3" t="s">
        <v>176</v>
      </c>
    </row>
    <row r="57" customFormat="false" ht="15" hidden="false" customHeight="false" outlineLevel="0" collapsed="false">
      <c r="A57" s="7" t="s">
        <v>63</v>
      </c>
      <c r="B57" s="8" t="s">
        <v>177</v>
      </c>
      <c r="C57" s="8" t="s">
        <v>174</v>
      </c>
      <c r="D57" s="9" t="n">
        <v>390</v>
      </c>
      <c r="E57" s="10" t="n">
        <v>0.59</v>
      </c>
      <c r="F57" s="11" t="n">
        <v>8.36</v>
      </c>
      <c r="G57" s="7" t="s">
        <v>13</v>
      </c>
      <c r="H57" s="7" t="s">
        <v>14</v>
      </c>
      <c r="I57" s="8" t="s">
        <v>168</v>
      </c>
      <c r="J57" s="8" t="s">
        <v>178</v>
      </c>
    </row>
    <row r="58" customFormat="false" ht="15" hidden="false" customHeight="false" outlineLevel="0" collapsed="false">
      <c r="A58" s="7" t="s">
        <v>63</v>
      </c>
      <c r="B58" s="8" t="s">
        <v>179</v>
      </c>
      <c r="C58" s="8" t="s">
        <v>174</v>
      </c>
      <c r="D58" s="9" t="n">
        <v>390</v>
      </c>
      <c r="E58" s="10" t="n">
        <v>0.59</v>
      </c>
      <c r="F58" s="11" t="n">
        <v>8.36</v>
      </c>
      <c r="G58" s="7" t="s">
        <v>13</v>
      </c>
      <c r="H58" s="7" t="s">
        <v>14</v>
      </c>
      <c r="I58" s="8" t="s">
        <v>180</v>
      </c>
      <c r="J58" s="8" t="s">
        <v>181</v>
      </c>
    </row>
    <row r="59" customFormat="false" ht="15" hidden="false" customHeight="false" outlineLevel="0" collapsed="false">
      <c r="A59" s="7" t="s">
        <v>63</v>
      </c>
      <c r="B59" s="8" t="s">
        <v>182</v>
      </c>
      <c r="C59" s="8" t="s">
        <v>174</v>
      </c>
      <c r="D59" s="9" t="n">
        <v>260</v>
      </c>
      <c r="E59" s="10" t="n">
        <v>0.59</v>
      </c>
      <c r="F59" s="11" t="n">
        <v>8.36</v>
      </c>
      <c r="G59" s="7" t="s">
        <v>19</v>
      </c>
      <c r="H59" s="7" t="s">
        <v>14</v>
      </c>
      <c r="I59" s="8" t="s">
        <v>142</v>
      </c>
      <c r="J59" s="8" t="s">
        <v>183</v>
      </c>
    </row>
    <row r="60" customFormat="false" ht="15" hidden="false" customHeight="false" outlineLevel="0" collapsed="false">
      <c r="A60" s="7" t="s">
        <v>63</v>
      </c>
      <c r="B60" s="8" t="s">
        <v>184</v>
      </c>
      <c r="C60" s="8" t="s">
        <v>174</v>
      </c>
      <c r="D60" s="9" t="n">
        <v>1300</v>
      </c>
      <c r="E60" s="10" t="n">
        <v>0</v>
      </c>
      <c r="F60" s="11" t="n">
        <v>0</v>
      </c>
      <c r="G60" s="7" t="s">
        <v>13</v>
      </c>
      <c r="H60" s="7" t="s">
        <v>14</v>
      </c>
      <c r="I60" s="8" t="s">
        <v>37</v>
      </c>
      <c r="J60" s="8" t="s">
        <v>185</v>
      </c>
    </row>
    <row r="61" customFormat="false" ht="15" hidden="false" customHeight="false" outlineLevel="0" collapsed="false">
      <c r="A61" s="12" t="s">
        <v>106</v>
      </c>
      <c r="B61" s="13" t="s">
        <v>186</v>
      </c>
      <c r="C61" s="13" t="s">
        <v>174</v>
      </c>
      <c r="D61" s="14" t="n">
        <v>110</v>
      </c>
      <c r="E61" s="15" t="n">
        <v>0.59</v>
      </c>
      <c r="F61" s="16" t="n">
        <v>8.36</v>
      </c>
      <c r="G61" s="12" t="s">
        <v>19</v>
      </c>
      <c r="H61" s="12" t="s">
        <v>14</v>
      </c>
      <c r="I61" s="13" t="s">
        <v>187</v>
      </c>
      <c r="J61" s="13" t="s">
        <v>188</v>
      </c>
    </row>
    <row r="62" customFormat="false" ht="15" hidden="false" customHeight="false" outlineLevel="0" collapsed="false">
      <c r="A62" s="12" t="s">
        <v>106</v>
      </c>
      <c r="B62" s="13" t="s">
        <v>189</v>
      </c>
      <c r="C62" s="13" t="s">
        <v>174</v>
      </c>
      <c r="D62" s="14" t="n">
        <v>110</v>
      </c>
      <c r="E62" s="15" t="n">
        <v>0.61</v>
      </c>
      <c r="F62" s="16" t="n">
        <v>11.9</v>
      </c>
      <c r="G62" s="12" t="s">
        <v>13</v>
      </c>
      <c r="H62" s="12" t="s">
        <v>41</v>
      </c>
      <c r="I62" s="13" t="s">
        <v>190</v>
      </c>
      <c r="J62" s="13" t="s">
        <v>191</v>
      </c>
    </row>
    <row r="63" customFormat="false" ht="15" hidden="false" customHeight="false" outlineLevel="0" collapsed="false">
      <c r="A63" s="12" t="s">
        <v>106</v>
      </c>
      <c r="B63" s="13" t="s">
        <v>192</v>
      </c>
      <c r="C63" s="13" t="s">
        <v>174</v>
      </c>
      <c r="D63" s="14" t="n">
        <v>110</v>
      </c>
      <c r="E63" s="15" t="n">
        <v>0.59</v>
      </c>
      <c r="F63" s="16" t="n">
        <v>8.36</v>
      </c>
      <c r="G63" s="12" t="s">
        <v>19</v>
      </c>
      <c r="H63" s="12" t="s">
        <v>14</v>
      </c>
      <c r="I63" s="13" t="s">
        <v>193</v>
      </c>
      <c r="J63" s="13" t="s">
        <v>194</v>
      </c>
    </row>
    <row r="64" customFormat="false" ht="15" hidden="false" customHeight="false" outlineLevel="0" collapsed="false">
      <c r="A64" s="12" t="s">
        <v>106</v>
      </c>
      <c r="B64" s="13" t="s">
        <v>195</v>
      </c>
      <c r="C64" s="13" t="s">
        <v>174</v>
      </c>
      <c r="D64" s="14" t="n">
        <v>260</v>
      </c>
      <c r="E64" s="15" t="n">
        <v>0.59</v>
      </c>
      <c r="F64" s="16" t="n">
        <v>8.36</v>
      </c>
      <c r="G64" s="12" t="s">
        <v>19</v>
      </c>
      <c r="H64" s="12" t="s">
        <v>20</v>
      </c>
      <c r="I64" s="13" t="s">
        <v>111</v>
      </c>
      <c r="J64" s="13" t="s">
        <v>196</v>
      </c>
    </row>
    <row r="65" customFormat="false" ht="15" hidden="false" customHeight="false" outlineLevel="0" collapsed="false">
      <c r="A65" s="12" t="s">
        <v>106</v>
      </c>
      <c r="B65" s="13" t="s">
        <v>197</v>
      </c>
      <c r="C65" s="13" t="s">
        <v>174</v>
      </c>
      <c r="D65" s="14" t="n">
        <v>170</v>
      </c>
      <c r="E65" s="15" t="n">
        <v>0</v>
      </c>
      <c r="F65" s="16" t="n">
        <v>0</v>
      </c>
      <c r="G65" s="12" t="s">
        <v>13</v>
      </c>
      <c r="H65" s="12" t="s">
        <v>14</v>
      </c>
      <c r="I65" s="13" t="s">
        <v>198</v>
      </c>
      <c r="J65" s="13" t="s">
        <v>199</v>
      </c>
    </row>
    <row r="66" customFormat="false" ht="15" hidden="false" customHeight="false" outlineLevel="0" collapsed="false">
      <c r="A66" s="12" t="s">
        <v>106</v>
      </c>
      <c r="B66" s="13" t="s">
        <v>200</v>
      </c>
      <c r="C66" s="13" t="s">
        <v>133</v>
      </c>
      <c r="D66" s="14" t="n">
        <v>110</v>
      </c>
      <c r="E66" s="15" t="n">
        <v>0.27</v>
      </c>
      <c r="F66" s="16" t="n">
        <v>4.8</v>
      </c>
      <c r="G66" s="12" t="s">
        <v>19</v>
      </c>
      <c r="H66" s="12" t="s">
        <v>20</v>
      </c>
      <c r="I66" s="13" t="s">
        <v>139</v>
      </c>
      <c r="J66" s="13" t="s">
        <v>201</v>
      </c>
    </row>
    <row r="67" customFormat="false" ht="15" hidden="false" customHeight="false" outlineLevel="0" collapsed="false">
      <c r="A67" s="7" t="s">
        <v>63</v>
      </c>
      <c r="B67" s="8" t="s">
        <v>202</v>
      </c>
      <c r="C67" s="8" t="s">
        <v>12</v>
      </c>
      <c r="D67" s="9" t="n">
        <v>9900</v>
      </c>
      <c r="E67" s="10" t="n">
        <v>0.04</v>
      </c>
      <c r="F67" s="11" t="n">
        <v>0</v>
      </c>
      <c r="G67" s="7" t="s">
        <v>19</v>
      </c>
      <c r="H67" s="7" t="s">
        <v>20</v>
      </c>
      <c r="I67" s="8" t="s">
        <v>203</v>
      </c>
      <c r="J67" s="8" t="s">
        <v>204</v>
      </c>
    </row>
    <row r="68" customFormat="false" ht="15" hidden="false" customHeight="false" outlineLevel="0" collapsed="false">
      <c r="A68" s="7" t="s">
        <v>63</v>
      </c>
      <c r="B68" s="8" t="s">
        <v>205</v>
      </c>
      <c r="C68" s="8" t="s">
        <v>12</v>
      </c>
      <c r="D68" s="9" t="n">
        <v>720</v>
      </c>
      <c r="E68" s="10" t="n">
        <v>0.1</v>
      </c>
      <c r="F68" s="11" t="n">
        <v>3.89</v>
      </c>
      <c r="G68" s="7" t="s">
        <v>19</v>
      </c>
      <c r="H68" s="7" t="s">
        <v>14</v>
      </c>
      <c r="I68" s="8" t="s">
        <v>206</v>
      </c>
      <c r="J68" s="8" t="s">
        <v>207</v>
      </c>
    </row>
    <row r="69" customFormat="false" ht="15" hidden="false" customHeight="false" outlineLevel="0" collapsed="false">
      <c r="A69" s="12" t="s">
        <v>106</v>
      </c>
      <c r="B69" s="13" t="s">
        <v>208</v>
      </c>
      <c r="C69" s="13" t="s">
        <v>12</v>
      </c>
      <c r="D69" s="14" t="n">
        <v>320</v>
      </c>
      <c r="E69" s="15" t="n">
        <v>0.2</v>
      </c>
      <c r="F69" s="16" t="n">
        <v>5</v>
      </c>
      <c r="G69" s="12" t="s">
        <v>13</v>
      </c>
      <c r="H69" s="12" t="s">
        <v>14</v>
      </c>
      <c r="I69" s="13" t="s">
        <v>209</v>
      </c>
      <c r="J69" s="13" t="s">
        <v>210</v>
      </c>
    </row>
    <row r="70" customFormat="false" ht="15" hidden="false" customHeight="false" outlineLevel="0" collapsed="false">
      <c r="A70" s="12" t="s">
        <v>106</v>
      </c>
      <c r="B70" s="13" t="s">
        <v>211</v>
      </c>
      <c r="C70" s="13" t="s">
        <v>12</v>
      </c>
      <c r="D70" s="14" t="n">
        <v>320</v>
      </c>
      <c r="E70" s="15" t="n">
        <v>0.03</v>
      </c>
      <c r="F70" s="16" t="n">
        <v>4.11</v>
      </c>
      <c r="G70" s="12" t="s">
        <v>19</v>
      </c>
      <c r="H70" s="12" t="s">
        <v>20</v>
      </c>
      <c r="I70" s="13" t="s">
        <v>206</v>
      </c>
      <c r="J70" s="13" t="s">
        <v>212</v>
      </c>
    </row>
    <row r="71" customFormat="false" ht="15" hidden="false" customHeight="false" outlineLevel="0" collapsed="false">
      <c r="A71" s="12" t="s">
        <v>106</v>
      </c>
      <c r="B71" s="13" t="s">
        <v>213</v>
      </c>
      <c r="C71" s="13" t="s">
        <v>12</v>
      </c>
      <c r="D71" s="14" t="n">
        <v>320</v>
      </c>
      <c r="E71" s="15" t="n">
        <v>0.03</v>
      </c>
      <c r="F71" s="16" t="n">
        <v>0</v>
      </c>
      <c r="G71" s="12" t="s">
        <v>19</v>
      </c>
      <c r="H71" s="12" t="s">
        <v>20</v>
      </c>
      <c r="I71" s="13" t="s">
        <v>206</v>
      </c>
      <c r="J71" s="13" t="s">
        <v>214</v>
      </c>
    </row>
    <row r="72" customFormat="false" ht="15" hidden="false" customHeight="false" outlineLevel="0" collapsed="false">
      <c r="A72" s="2" t="s">
        <v>10</v>
      </c>
      <c r="B72" s="3" t="s">
        <v>215</v>
      </c>
      <c r="C72" s="3" t="s">
        <v>48</v>
      </c>
      <c r="D72" s="4" t="n">
        <v>2400</v>
      </c>
      <c r="E72" s="5" t="n">
        <v>0.52</v>
      </c>
      <c r="F72" s="6" t="n">
        <v>39.79</v>
      </c>
      <c r="G72" s="2" t="s">
        <v>13</v>
      </c>
      <c r="H72" s="2" t="s">
        <v>41</v>
      </c>
      <c r="I72" s="3" t="s">
        <v>49</v>
      </c>
      <c r="J72" s="3" t="s">
        <v>216</v>
      </c>
    </row>
    <row r="73" customFormat="false" ht="15" hidden="false" customHeight="false" outlineLevel="0" collapsed="false">
      <c r="A73" s="2" t="s">
        <v>10</v>
      </c>
      <c r="B73" s="3" t="s">
        <v>217</v>
      </c>
      <c r="C73" s="3" t="s">
        <v>48</v>
      </c>
      <c r="D73" s="4" t="n">
        <v>3600</v>
      </c>
      <c r="E73" s="5" t="n">
        <v>0.52</v>
      </c>
      <c r="F73" s="6" t="n">
        <v>79.76</v>
      </c>
      <c r="G73" s="2" t="s">
        <v>13</v>
      </c>
      <c r="H73" s="2" t="s">
        <v>41</v>
      </c>
      <c r="I73" s="3" t="s">
        <v>49</v>
      </c>
      <c r="J73" s="3" t="s">
        <v>218</v>
      </c>
    </row>
    <row r="74" customFormat="false" ht="15" hidden="false" customHeight="false" outlineLevel="0" collapsed="false">
      <c r="A74" s="2" t="s">
        <v>10</v>
      </c>
      <c r="B74" s="3" t="s">
        <v>219</v>
      </c>
      <c r="C74" s="3" t="s">
        <v>48</v>
      </c>
      <c r="D74" s="4" t="n">
        <v>3600</v>
      </c>
      <c r="E74" s="5" t="n">
        <v>0.52</v>
      </c>
      <c r="F74" s="6" t="n">
        <v>79.76</v>
      </c>
      <c r="G74" s="2" t="s">
        <v>13</v>
      </c>
      <c r="H74" s="2" t="s">
        <v>41</v>
      </c>
      <c r="I74" s="3" t="s">
        <v>49</v>
      </c>
      <c r="J74" s="3" t="s">
        <v>220</v>
      </c>
    </row>
    <row r="75" customFormat="false" ht="15" hidden="false" customHeight="false" outlineLevel="0" collapsed="false">
      <c r="A75" s="7" t="s">
        <v>63</v>
      </c>
      <c r="B75" s="8" t="s">
        <v>221</v>
      </c>
      <c r="C75" s="8" t="s">
        <v>48</v>
      </c>
      <c r="D75" s="9" t="n">
        <v>2900</v>
      </c>
      <c r="E75" s="10" t="n">
        <v>0.1</v>
      </c>
      <c r="F75" s="11" t="n">
        <v>84.47</v>
      </c>
      <c r="G75" s="7" t="s">
        <v>13</v>
      </c>
      <c r="H75" s="7" t="s">
        <v>41</v>
      </c>
      <c r="I75" s="8" t="s">
        <v>101</v>
      </c>
      <c r="J75" s="8" t="s">
        <v>222</v>
      </c>
    </row>
    <row r="76" customFormat="false" ht="15" hidden="false" customHeight="false" outlineLevel="0" collapsed="false">
      <c r="A76" s="7" t="s">
        <v>63</v>
      </c>
      <c r="B76" s="8" t="s">
        <v>223</v>
      </c>
      <c r="C76" s="8" t="s">
        <v>48</v>
      </c>
      <c r="D76" s="9" t="n">
        <v>1300</v>
      </c>
      <c r="E76" s="10" t="n">
        <v>0.12</v>
      </c>
      <c r="F76" s="11" t="n">
        <v>72.94</v>
      </c>
      <c r="G76" s="7" t="s">
        <v>13</v>
      </c>
      <c r="H76" s="7" t="s">
        <v>41</v>
      </c>
      <c r="I76" s="8" t="s">
        <v>101</v>
      </c>
      <c r="J76" s="8" t="s">
        <v>224</v>
      </c>
    </row>
    <row r="77" customFormat="false" ht="15" hidden="false" customHeight="false" outlineLevel="0" collapsed="false">
      <c r="A77" s="7" t="s">
        <v>63</v>
      </c>
      <c r="B77" s="8" t="s">
        <v>225</v>
      </c>
      <c r="C77" s="8" t="s">
        <v>48</v>
      </c>
      <c r="D77" s="9" t="n">
        <v>1900</v>
      </c>
      <c r="E77" s="10" t="n">
        <v>0.29</v>
      </c>
      <c r="F77" s="11" t="n">
        <v>24.06</v>
      </c>
      <c r="G77" s="7" t="s">
        <v>13</v>
      </c>
      <c r="H77" s="7" t="s">
        <v>14</v>
      </c>
      <c r="I77" s="8" t="s">
        <v>226</v>
      </c>
      <c r="J77" s="8" t="s">
        <v>227</v>
      </c>
    </row>
    <row r="78" customFormat="false" ht="15" hidden="false" customHeight="false" outlineLevel="0" collapsed="false">
      <c r="A78" s="7" t="s">
        <v>63</v>
      </c>
      <c r="B78" s="8" t="s">
        <v>228</v>
      </c>
      <c r="C78" s="8" t="s">
        <v>48</v>
      </c>
      <c r="D78" s="9" t="n">
        <v>1300</v>
      </c>
      <c r="E78" s="10" t="n">
        <v>0.1</v>
      </c>
      <c r="F78" s="11" t="n">
        <v>52.32</v>
      </c>
      <c r="G78" s="7" t="s">
        <v>13</v>
      </c>
      <c r="H78" s="7" t="s">
        <v>41</v>
      </c>
      <c r="I78" s="8" t="s">
        <v>61</v>
      </c>
      <c r="J78" s="8" t="s">
        <v>229</v>
      </c>
    </row>
    <row r="79" customFormat="false" ht="15" hidden="false" customHeight="false" outlineLevel="0" collapsed="false">
      <c r="A79" s="7" t="s">
        <v>63</v>
      </c>
      <c r="B79" s="8" t="s">
        <v>230</v>
      </c>
      <c r="C79" s="8" t="s">
        <v>48</v>
      </c>
      <c r="D79" s="9" t="n">
        <v>1300</v>
      </c>
      <c r="E79" s="10" t="n">
        <v>0.47</v>
      </c>
      <c r="F79" s="11" t="n">
        <v>68.37</v>
      </c>
      <c r="G79" s="7" t="s">
        <v>13</v>
      </c>
      <c r="H79" s="7" t="s">
        <v>41</v>
      </c>
      <c r="I79" s="8" t="s">
        <v>226</v>
      </c>
      <c r="J79" s="8" t="s">
        <v>178</v>
      </c>
    </row>
    <row r="80" customFormat="false" ht="15" hidden="false" customHeight="false" outlineLevel="0" collapsed="false">
      <c r="A80" s="12" t="s">
        <v>106</v>
      </c>
      <c r="B80" s="13" t="s">
        <v>231</v>
      </c>
      <c r="C80" s="13" t="s">
        <v>48</v>
      </c>
      <c r="D80" s="14" t="n">
        <v>1000</v>
      </c>
      <c r="E80" s="15" t="n">
        <v>0.24</v>
      </c>
      <c r="F80" s="16" t="n">
        <v>86.02</v>
      </c>
      <c r="G80" s="12" t="s">
        <v>13</v>
      </c>
      <c r="H80" s="12" t="s">
        <v>41</v>
      </c>
      <c r="I80" s="13" t="s">
        <v>49</v>
      </c>
      <c r="J80" s="13" t="s">
        <v>232</v>
      </c>
    </row>
    <row r="81" customFormat="false" ht="15" hidden="false" customHeight="false" outlineLevel="0" collapsed="false">
      <c r="A81" s="12" t="s">
        <v>106</v>
      </c>
      <c r="B81" s="13" t="s">
        <v>233</v>
      </c>
      <c r="C81" s="13" t="s">
        <v>48</v>
      </c>
      <c r="D81" s="14" t="n">
        <v>590</v>
      </c>
      <c r="E81" s="15" t="n">
        <v>0.15</v>
      </c>
      <c r="F81" s="16" t="n">
        <v>71.86</v>
      </c>
      <c r="G81" s="12" t="s">
        <v>13</v>
      </c>
      <c r="H81" s="12" t="s">
        <v>41</v>
      </c>
      <c r="I81" s="13" t="s">
        <v>61</v>
      </c>
      <c r="J81" s="13" t="s">
        <v>234</v>
      </c>
    </row>
    <row r="82" customFormat="false" ht="15" hidden="false" customHeight="false" outlineLevel="0" collapsed="false">
      <c r="A82" s="12" t="s">
        <v>106</v>
      </c>
      <c r="B82" s="13" t="s">
        <v>235</v>
      </c>
      <c r="C82" s="13" t="s">
        <v>48</v>
      </c>
      <c r="D82" s="14" t="n">
        <v>480</v>
      </c>
      <c r="E82" s="15" t="n">
        <v>0.27</v>
      </c>
      <c r="F82" s="16" t="n">
        <v>52.28</v>
      </c>
      <c r="G82" s="12" t="s">
        <v>13</v>
      </c>
      <c r="H82" s="12" t="s">
        <v>41</v>
      </c>
      <c r="I82" s="13" t="s">
        <v>61</v>
      </c>
      <c r="J82" s="13" t="s">
        <v>236</v>
      </c>
    </row>
    <row r="83" customFormat="false" ht="15" hidden="false" customHeight="false" outlineLevel="0" collapsed="false">
      <c r="A83" s="12" t="s">
        <v>106</v>
      </c>
      <c r="B83" s="13" t="s">
        <v>237</v>
      </c>
      <c r="C83" s="13" t="s">
        <v>48</v>
      </c>
      <c r="D83" s="14" t="n">
        <v>480</v>
      </c>
      <c r="E83" s="15" t="n">
        <v>0.08</v>
      </c>
      <c r="F83" s="16" t="n">
        <v>39.68</v>
      </c>
      <c r="G83" s="12" t="s">
        <v>13</v>
      </c>
      <c r="H83" s="12" t="s">
        <v>41</v>
      </c>
      <c r="I83" s="13" t="s">
        <v>61</v>
      </c>
      <c r="J83" s="13" t="s">
        <v>238</v>
      </c>
    </row>
    <row r="84" customFormat="false" ht="15" hidden="false" customHeight="false" outlineLevel="0" collapsed="false">
      <c r="A84" s="12" t="s">
        <v>106</v>
      </c>
      <c r="B84" s="13" t="s">
        <v>239</v>
      </c>
      <c r="C84" s="13" t="s">
        <v>48</v>
      </c>
      <c r="D84" s="14" t="n">
        <v>50</v>
      </c>
      <c r="E84" s="15" t="n">
        <v>0.75</v>
      </c>
      <c r="F84" s="16" t="n">
        <v>18.33</v>
      </c>
      <c r="G84" s="12" t="s">
        <v>13</v>
      </c>
      <c r="H84" s="12" t="s">
        <v>41</v>
      </c>
      <c r="I84" s="13" t="s">
        <v>226</v>
      </c>
      <c r="J84" s="13" t="s">
        <v>240</v>
      </c>
    </row>
    <row r="85" customFormat="false" ht="15" hidden="false" customHeight="false" outlineLevel="0" collapsed="false">
      <c r="A85" s="12" t="s">
        <v>106</v>
      </c>
      <c r="B85" s="13" t="s">
        <v>241</v>
      </c>
      <c r="C85" s="13" t="s">
        <v>48</v>
      </c>
      <c r="D85" s="14" t="n">
        <v>590</v>
      </c>
      <c r="E85" s="15" t="n">
        <v>0.47</v>
      </c>
      <c r="F85" s="16" t="n">
        <v>68.37</v>
      </c>
      <c r="G85" s="12" t="s">
        <v>13</v>
      </c>
      <c r="H85" s="12" t="s">
        <v>14</v>
      </c>
      <c r="I85" s="13" t="s">
        <v>226</v>
      </c>
      <c r="J85" s="13" t="s">
        <v>242</v>
      </c>
    </row>
    <row r="86" customFormat="false" ht="15" hidden="false" customHeight="false" outlineLevel="0" collapsed="false">
      <c r="A86" s="12" t="s">
        <v>106</v>
      </c>
      <c r="B86" s="13" t="s">
        <v>243</v>
      </c>
      <c r="C86" s="13" t="s">
        <v>48</v>
      </c>
      <c r="D86" s="14" t="n">
        <v>480</v>
      </c>
      <c r="E86" s="15" t="n">
        <v>0.02</v>
      </c>
      <c r="F86" s="16" t="n">
        <v>0</v>
      </c>
      <c r="G86" s="12" t="s">
        <v>13</v>
      </c>
      <c r="H86" s="12" t="s">
        <v>14</v>
      </c>
      <c r="I86" s="13" t="s">
        <v>226</v>
      </c>
      <c r="J86" s="13" t="s">
        <v>244</v>
      </c>
    </row>
    <row r="87" customFormat="false" ht="15" hidden="false" customHeight="false" outlineLevel="0" collapsed="false">
      <c r="A87" s="12" t="s">
        <v>106</v>
      </c>
      <c r="B87" s="13" t="s">
        <v>245</v>
      </c>
      <c r="C87" s="13" t="s">
        <v>52</v>
      </c>
      <c r="D87" s="14" t="n">
        <v>140</v>
      </c>
      <c r="E87" s="15" t="n">
        <v>0.54</v>
      </c>
      <c r="F87" s="16" t="n">
        <v>27.37</v>
      </c>
      <c r="G87" s="12" t="s">
        <v>13</v>
      </c>
      <c r="H87" s="12" t="s">
        <v>41</v>
      </c>
      <c r="I87" s="13" t="s">
        <v>49</v>
      </c>
      <c r="J87" s="13" t="s">
        <v>246</v>
      </c>
    </row>
    <row r="88" customFormat="false" ht="15" hidden="false" customHeight="false" outlineLevel="0" collapsed="false">
      <c r="A88" s="12" t="s">
        <v>106</v>
      </c>
      <c r="B88" s="13" t="s">
        <v>247</v>
      </c>
      <c r="C88" s="13" t="s">
        <v>52</v>
      </c>
      <c r="D88" s="14" t="n">
        <v>30</v>
      </c>
      <c r="E88" s="15" t="n">
        <v>0.8</v>
      </c>
      <c r="F88" s="16" t="n">
        <v>9.05</v>
      </c>
      <c r="G88" s="12" t="s">
        <v>19</v>
      </c>
      <c r="H88" s="12" t="s">
        <v>14</v>
      </c>
      <c r="I88" s="13" t="s">
        <v>187</v>
      </c>
      <c r="J88" s="13" t="s">
        <v>248</v>
      </c>
    </row>
    <row r="89" customFormat="false" ht="15" hidden="false" customHeight="false" outlineLevel="0" collapsed="false">
      <c r="A89" s="12" t="s">
        <v>106</v>
      </c>
      <c r="B89" s="13" t="s">
        <v>249</v>
      </c>
      <c r="C89" s="13" t="s">
        <v>52</v>
      </c>
      <c r="D89" s="14" t="n">
        <v>720</v>
      </c>
      <c r="E89" s="15" t="n">
        <v>0.16</v>
      </c>
      <c r="F89" s="16" t="n">
        <v>79.22</v>
      </c>
      <c r="G89" s="12" t="s">
        <v>13</v>
      </c>
      <c r="H89" s="12" t="s">
        <v>41</v>
      </c>
      <c r="I89" s="13" t="s">
        <v>49</v>
      </c>
      <c r="J89" s="13" t="s">
        <v>250</v>
      </c>
    </row>
    <row r="90" customFormat="false" ht="15" hidden="false" customHeight="false" outlineLevel="0" collapsed="false">
      <c r="A90" s="12" t="s">
        <v>106</v>
      </c>
      <c r="B90" s="13" t="s">
        <v>251</v>
      </c>
      <c r="C90" s="13" t="s">
        <v>52</v>
      </c>
      <c r="D90" s="14" t="n">
        <v>210</v>
      </c>
      <c r="E90" s="15" t="n">
        <v>0.51</v>
      </c>
      <c r="F90" s="16" t="n">
        <v>12</v>
      </c>
      <c r="G90" s="12" t="s">
        <v>13</v>
      </c>
      <c r="H90" s="12" t="s">
        <v>14</v>
      </c>
      <c r="I90" s="13" t="s">
        <v>61</v>
      </c>
      <c r="J90" s="13" t="s">
        <v>252</v>
      </c>
    </row>
    <row r="91" customFormat="false" ht="15" hidden="false" customHeight="false" outlineLevel="0" collapsed="false">
      <c r="A91" s="7" t="s">
        <v>63</v>
      </c>
      <c r="B91" s="8" t="s">
        <v>253</v>
      </c>
      <c r="C91" s="8" t="s">
        <v>130</v>
      </c>
      <c r="D91" s="9" t="n">
        <v>480</v>
      </c>
      <c r="E91" s="10" t="n">
        <v>0.12</v>
      </c>
      <c r="F91" s="11" t="n">
        <v>112.84</v>
      </c>
      <c r="G91" s="7" t="s">
        <v>13</v>
      </c>
      <c r="H91" s="7" t="s">
        <v>41</v>
      </c>
      <c r="I91" s="8" t="s">
        <v>101</v>
      </c>
      <c r="J91" s="8" t="s">
        <v>254</v>
      </c>
    </row>
    <row r="92" customFormat="false" ht="15" hidden="false" customHeight="false" outlineLevel="0" collapsed="false">
      <c r="A92" s="12" t="s">
        <v>106</v>
      </c>
      <c r="B92" s="13" t="s">
        <v>255</v>
      </c>
      <c r="C92" s="13" t="s">
        <v>130</v>
      </c>
      <c r="D92" s="14" t="n">
        <v>170</v>
      </c>
      <c r="E92" s="15" t="n">
        <v>0.41</v>
      </c>
      <c r="F92" s="16" t="n">
        <v>18.42</v>
      </c>
      <c r="G92" s="12" t="s">
        <v>13</v>
      </c>
      <c r="H92" s="12" t="s">
        <v>14</v>
      </c>
      <c r="I92" s="13" t="s">
        <v>65</v>
      </c>
      <c r="J92" s="13" t="s">
        <v>242</v>
      </c>
    </row>
    <row r="93" customFormat="false" ht="15" hidden="false" customHeight="false" outlineLevel="0" collapsed="false">
      <c r="A93" s="12" t="s">
        <v>106</v>
      </c>
      <c r="B93" s="13" t="s">
        <v>256</v>
      </c>
      <c r="C93" s="13" t="s">
        <v>130</v>
      </c>
      <c r="D93" s="14" t="n">
        <v>720</v>
      </c>
      <c r="E93" s="15" t="n">
        <v>0.09</v>
      </c>
      <c r="F93" s="16" t="n">
        <v>31.57</v>
      </c>
      <c r="G93" s="12" t="s">
        <v>13</v>
      </c>
      <c r="H93" s="12" t="s">
        <v>41</v>
      </c>
      <c r="I93" s="13" t="s">
        <v>61</v>
      </c>
      <c r="J93" s="13" t="s">
        <v>238</v>
      </c>
    </row>
    <row r="94" customFormat="false" ht="15" hidden="false" customHeight="false" outlineLevel="0" collapsed="false">
      <c r="A94" s="12" t="s">
        <v>106</v>
      </c>
      <c r="B94" s="13" t="s">
        <v>257</v>
      </c>
      <c r="C94" s="13" t="s">
        <v>130</v>
      </c>
      <c r="D94" s="14" t="n">
        <v>720</v>
      </c>
      <c r="E94" s="15" t="n">
        <v>0.09</v>
      </c>
      <c r="F94" s="16" t="n">
        <v>31.57</v>
      </c>
      <c r="G94" s="12" t="s">
        <v>13</v>
      </c>
      <c r="H94" s="12" t="s">
        <v>41</v>
      </c>
      <c r="I94" s="13" t="s">
        <v>61</v>
      </c>
      <c r="J94" s="13" t="s">
        <v>258</v>
      </c>
    </row>
    <row r="95" customFormat="false" ht="15" hidden="false" customHeight="false" outlineLevel="0" collapsed="false">
      <c r="A95" s="12" t="s">
        <v>106</v>
      </c>
      <c r="B95" s="13" t="s">
        <v>259</v>
      </c>
      <c r="C95" s="13" t="s">
        <v>130</v>
      </c>
      <c r="D95" s="14" t="n">
        <v>260</v>
      </c>
      <c r="E95" s="15" t="n">
        <v>0.01</v>
      </c>
      <c r="F95" s="16" t="n">
        <v>4.85</v>
      </c>
      <c r="G95" s="12" t="s">
        <v>13</v>
      </c>
      <c r="H95" s="12" t="s">
        <v>14</v>
      </c>
      <c r="I95" s="13" t="s">
        <v>61</v>
      </c>
      <c r="J95" s="13" t="s">
        <v>260</v>
      </c>
    </row>
    <row r="96" customFormat="false" ht="15" hidden="false" customHeight="false" outlineLevel="0" collapsed="false">
      <c r="A96" s="12" t="s">
        <v>106</v>
      </c>
      <c r="B96" s="13" t="s">
        <v>261</v>
      </c>
      <c r="C96" s="13" t="s">
        <v>130</v>
      </c>
      <c r="D96" s="14" t="n">
        <v>170</v>
      </c>
      <c r="E96" s="15" t="n">
        <v>0.33</v>
      </c>
      <c r="F96" s="16" t="n">
        <v>0</v>
      </c>
      <c r="G96" s="12" t="s">
        <v>13</v>
      </c>
      <c r="H96" s="12" t="s">
        <v>14</v>
      </c>
      <c r="I96" s="13" t="s">
        <v>262</v>
      </c>
      <c r="J96" s="13" t="s">
        <v>263</v>
      </c>
    </row>
    <row r="97" customFormat="false" ht="15" hidden="false" customHeight="false" outlineLevel="0" collapsed="false">
      <c r="A97" s="12" t="s">
        <v>106</v>
      </c>
      <c r="B97" s="13" t="s">
        <v>264</v>
      </c>
      <c r="C97" s="13" t="s">
        <v>130</v>
      </c>
      <c r="D97" s="14" t="n">
        <v>170</v>
      </c>
      <c r="E97" s="15" t="n">
        <v>0.46</v>
      </c>
      <c r="F97" s="16" t="n">
        <v>10.29</v>
      </c>
      <c r="G97" s="12" t="s">
        <v>13</v>
      </c>
      <c r="H97" s="12" t="s">
        <v>14</v>
      </c>
      <c r="I97" s="13" t="s">
        <v>265</v>
      </c>
      <c r="J97" s="13" t="s">
        <v>266</v>
      </c>
    </row>
    <row r="98" customFormat="false" ht="15" hidden="false" customHeight="false" outlineLevel="0" collapsed="false">
      <c r="A98" s="12" t="s">
        <v>106</v>
      </c>
      <c r="B98" s="13" t="s">
        <v>267</v>
      </c>
      <c r="C98" s="13" t="s">
        <v>268</v>
      </c>
      <c r="D98" s="14" t="n">
        <v>10</v>
      </c>
      <c r="E98" s="15" t="n">
        <v>0.99</v>
      </c>
      <c r="F98" s="16" t="n">
        <v>12.42</v>
      </c>
      <c r="G98" s="12" t="s">
        <v>13</v>
      </c>
      <c r="H98" s="12" t="s">
        <v>41</v>
      </c>
      <c r="I98" s="13" t="s">
        <v>269</v>
      </c>
      <c r="J98" s="13" t="s">
        <v>270</v>
      </c>
    </row>
    <row r="99" customFormat="false" ht="15" hidden="false" customHeight="false" outlineLevel="0" collapsed="false">
      <c r="A99" s="12" t="s">
        <v>106</v>
      </c>
      <c r="B99" s="13" t="s">
        <v>271</v>
      </c>
      <c r="C99" s="13" t="s">
        <v>48</v>
      </c>
      <c r="D99" s="14" t="n">
        <v>20</v>
      </c>
      <c r="E99" s="15" t="n">
        <v>0</v>
      </c>
      <c r="F99" s="16" t="n">
        <v>0</v>
      </c>
      <c r="G99" s="12" t="s">
        <v>13</v>
      </c>
      <c r="H99" s="12" t="s">
        <v>41</v>
      </c>
      <c r="I99" s="13" t="s">
        <v>272</v>
      </c>
      <c r="J99" s="13" t="s">
        <v>273</v>
      </c>
    </row>
    <row r="100" customFormat="false" ht="15" hidden="false" customHeight="false" outlineLevel="0" collapsed="false">
      <c r="A100" s="12" t="s">
        <v>106</v>
      </c>
      <c r="B100" s="13" t="s">
        <v>274</v>
      </c>
      <c r="C100" s="13" t="s">
        <v>73</v>
      </c>
      <c r="D100" s="14" t="n">
        <v>20</v>
      </c>
      <c r="E100" s="15" t="n">
        <v>0.74</v>
      </c>
      <c r="F100" s="16" t="n">
        <v>7.83</v>
      </c>
      <c r="G100" s="12" t="s">
        <v>13</v>
      </c>
      <c r="H100" s="12" t="s">
        <v>41</v>
      </c>
      <c r="I100" s="13" t="s">
        <v>275</v>
      </c>
      <c r="J100" s="13" t="s">
        <v>276</v>
      </c>
    </row>
    <row r="101" customFormat="false" ht="15" hidden="false" customHeight="false" outlineLevel="0" collapsed="false">
      <c r="A101" s="12" t="s">
        <v>106</v>
      </c>
      <c r="B101" s="13" t="s">
        <v>277</v>
      </c>
      <c r="C101" s="13" t="s">
        <v>268</v>
      </c>
      <c r="D101" s="14" t="n">
        <v>10</v>
      </c>
      <c r="E101" s="15" t="n">
        <v>0</v>
      </c>
      <c r="F101" s="16" t="n">
        <v>0</v>
      </c>
      <c r="G101" s="12" t="s">
        <v>13</v>
      </c>
      <c r="H101" s="12" t="s">
        <v>41</v>
      </c>
      <c r="I101" s="13" t="s">
        <v>269</v>
      </c>
      <c r="J101" s="13" t="s">
        <v>278</v>
      </c>
    </row>
  </sheetData>
  <autoFilter ref="A1:J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4" min="3" style="0" width="22"/>
    <col collapsed="false" customWidth="true" hidden="false" outlineLevel="0" max="5" min="5" style="0" width="52"/>
  </cols>
  <sheetData>
    <row r="1" customFormat="false" ht="17.35" hidden="false" customHeight="false" outlineLevel="0" collapsed="false">
      <c r="A1" s="17" t="s">
        <v>279</v>
      </c>
    </row>
    <row r="2" customFormat="false" ht="15" hidden="false" customHeight="false" outlineLevel="0" collapsed="false">
      <c r="A2" s="18" t="s">
        <v>280</v>
      </c>
    </row>
    <row r="4" customFormat="false" ht="36" hidden="false" customHeight="true" outlineLevel="0" collapsed="false">
      <c r="A4" s="1" t="s">
        <v>2</v>
      </c>
      <c r="B4" s="1" t="s">
        <v>281</v>
      </c>
      <c r="C4" s="1" t="s">
        <v>282</v>
      </c>
      <c r="D4" s="1" t="s">
        <v>283</v>
      </c>
      <c r="E4" s="1" t="s">
        <v>284</v>
      </c>
    </row>
    <row r="5" customFormat="false" ht="15" hidden="false" customHeight="false" outlineLevel="0" collapsed="false">
      <c r="A5" s="19" t="s">
        <v>40</v>
      </c>
      <c r="B5" s="20" t="n">
        <f aca="false">COUNTIF('Master keyword list'!C2:C101,A5)</f>
        <v>5</v>
      </c>
      <c r="C5" s="20" t="n">
        <f aca="false">SUMIF('Master keyword list'!C2:C101,A5,'Master keyword list'!D2:D101)</f>
        <v>1100</v>
      </c>
      <c r="D5" s="21" t="n">
        <f aca="false">AVERAGEIF('Master keyword list'!C2:C101,A5,'Master keyword list'!E2:E101)</f>
        <v>0.49</v>
      </c>
      <c r="E5" s="19" t="s">
        <v>285</v>
      </c>
    </row>
    <row r="6" customFormat="false" ht="15" hidden="false" customHeight="false" outlineLevel="0" collapsed="false">
      <c r="A6" s="19" t="s">
        <v>174</v>
      </c>
      <c r="B6" s="20" t="n">
        <f aca="false">COUNTIF('Master keyword list'!C2:C101,A6)</f>
        <v>10</v>
      </c>
      <c r="C6" s="20" t="n">
        <f aca="false">SUMIF('Master keyword list'!C2:C101,A6,'Master keyword list'!D2:D101)</f>
        <v>3980</v>
      </c>
      <c r="D6" s="21" t="n">
        <f aca="false">AVERAGEIF('Master keyword list'!C2:C101,A6,'Master keyword list'!E2:E101)</f>
        <v>0.474</v>
      </c>
      <c r="E6" s="19" t="s">
        <v>286</v>
      </c>
    </row>
    <row r="7" customFormat="false" ht="15" hidden="false" customHeight="false" outlineLevel="0" collapsed="false">
      <c r="A7" s="19" t="s">
        <v>52</v>
      </c>
      <c r="B7" s="20" t="n">
        <f aca="false">COUNTIF('Master keyword list'!C2:C101,A7)</f>
        <v>5</v>
      </c>
      <c r="C7" s="20" t="n">
        <f aca="false">SUMIF('Master keyword list'!C2:C101,A7,'Master keyword list'!D2:D101)</f>
        <v>1310</v>
      </c>
      <c r="D7" s="21" t="n">
        <f aca="false">AVERAGEIF('Master keyword list'!C2:C101,A7,'Master keyword list'!E2:E101)</f>
        <v>0.43</v>
      </c>
      <c r="E7" s="19" t="s">
        <v>287</v>
      </c>
    </row>
    <row r="8" customFormat="false" ht="15" hidden="false" customHeight="false" outlineLevel="0" collapsed="false">
      <c r="A8" s="19" t="s">
        <v>48</v>
      </c>
      <c r="B8" s="20" t="n">
        <f aca="false">COUNTIF('Master keyword list'!C2:C101,A8)</f>
        <v>17</v>
      </c>
      <c r="C8" s="20" t="n">
        <f aca="false">SUMIF('Master keyword list'!C2:C101,A8,'Master keyword list'!D2:D101)</f>
        <v>22380</v>
      </c>
      <c r="D8" s="21" t="n">
        <f aca="false">AVERAGEIF('Master keyword list'!C2:C101,A8,'Master keyword list'!E2:E101)</f>
        <v>0.286470588235294</v>
      </c>
      <c r="E8" s="19" t="s">
        <v>288</v>
      </c>
    </row>
    <row r="9" customFormat="false" ht="15" hidden="false" customHeight="false" outlineLevel="0" collapsed="false">
      <c r="A9" s="19" t="s">
        <v>29</v>
      </c>
      <c r="B9" s="20" t="n">
        <f aca="false">COUNTIF('Master keyword list'!C2:C101,A9)</f>
        <v>9</v>
      </c>
      <c r="C9" s="20" t="n">
        <f aca="false">SUMIF('Master keyword list'!C2:C101,A9,'Master keyword list'!D2:D101)</f>
        <v>13440</v>
      </c>
      <c r="D9" s="21" t="n">
        <f aca="false">AVERAGEIF('Master keyword list'!C2:C101,A9,'Master keyword list'!E2:E101)</f>
        <v>0.515555555555556</v>
      </c>
      <c r="E9" s="19" t="s">
        <v>289</v>
      </c>
    </row>
    <row r="10" customFormat="false" ht="15" hidden="false" customHeight="false" outlineLevel="0" collapsed="false">
      <c r="A10" s="19" t="s">
        <v>73</v>
      </c>
      <c r="B10" s="20" t="n">
        <f aca="false">COUNTIF('Master keyword list'!C2:C101,A10)</f>
        <v>5</v>
      </c>
      <c r="C10" s="20" t="n">
        <f aca="false">SUMIF('Master keyword list'!C2:C101,A10,'Master keyword list'!D2:D101)</f>
        <v>590</v>
      </c>
      <c r="D10" s="21" t="n">
        <f aca="false">AVERAGEIF('Master keyword list'!C2:C101,A10,'Master keyword list'!E2:E101)</f>
        <v>0.644</v>
      </c>
      <c r="E10" s="19" t="s">
        <v>290</v>
      </c>
    </row>
    <row r="11" customFormat="false" ht="15" hidden="false" customHeight="false" outlineLevel="0" collapsed="false">
      <c r="A11" s="19" t="s">
        <v>18</v>
      </c>
      <c r="B11" s="20" t="n">
        <f aca="false">COUNTIF('Master keyword list'!C2:C101,A11)</f>
        <v>12</v>
      </c>
      <c r="C11" s="20" t="n">
        <f aca="false">SUMIF('Master keyword list'!C2:C101,A11,'Master keyword list'!D2:D101)</f>
        <v>17280</v>
      </c>
      <c r="D11" s="21" t="n">
        <f aca="false">AVERAGEIF('Master keyword list'!C2:C101,A11,'Master keyword list'!E2:E101)</f>
        <v>0.573333333333333</v>
      </c>
      <c r="E11" s="19" t="s">
        <v>291</v>
      </c>
    </row>
    <row r="12" customFormat="false" ht="15" hidden="false" customHeight="false" outlineLevel="0" collapsed="false">
      <c r="A12" s="19" t="s">
        <v>80</v>
      </c>
      <c r="B12" s="20" t="n">
        <f aca="false">COUNTIF('Master keyword list'!C2:C101,A12)</f>
        <v>5</v>
      </c>
      <c r="C12" s="20" t="n">
        <f aca="false">SUMIF('Master keyword list'!C2:C101,A12,'Master keyword list'!D2:D101)</f>
        <v>630</v>
      </c>
      <c r="D12" s="21" t="n">
        <f aca="false">AVERAGEIF('Master keyword list'!C2:C101,A12,'Master keyword list'!E2:E101)</f>
        <v>0.588</v>
      </c>
      <c r="E12" s="19" t="s">
        <v>292</v>
      </c>
    </row>
    <row r="13" customFormat="false" ht="15" hidden="false" customHeight="false" outlineLevel="0" collapsed="false">
      <c r="A13" s="19" t="s">
        <v>12</v>
      </c>
      <c r="B13" s="20" t="n">
        <f aca="false">COUNTIF('Master keyword list'!C2:C101,A13)</f>
        <v>6</v>
      </c>
      <c r="C13" s="20" t="n">
        <f aca="false">SUMIF('Master keyword list'!C2:C101,A13,'Master keyword list'!D2:D101)</f>
        <v>18180</v>
      </c>
      <c r="D13" s="21" t="n">
        <f aca="false">AVERAGEIF('Master keyword list'!C2:C101,A13,'Master keyword list'!E2:E101)</f>
        <v>0.0966666666666667</v>
      </c>
      <c r="E13" s="19" t="s">
        <v>293</v>
      </c>
    </row>
    <row r="14" customFormat="false" ht="15" hidden="false" customHeight="false" outlineLevel="0" collapsed="false">
      <c r="A14" s="19" t="s">
        <v>130</v>
      </c>
      <c r="B14" s="20" t="n">
        <f aca="false">COUNTIF('Master keyword list'!C2:C101,A14)</f>
        <v>8</v>
      </c>
      <c r="C14" s="20" t="n">
        <f aca="false">SUMIF('Master keyword list'!C2:C101,A14,'Master keyword list'!D2:D101)</f>
        <v>2900</v>
      </c>
      <c r="D14" s="21" t="n">
        <f aca="false">AVERAGEIF('Master keyword list'!C2:C101,A14,'Master keyword list'!E2:E101)</f>
        <v>0.23</v>
      </c>
      <c r="E14" s="19" t="s">
        <v>294</v>
      </c>
    </row>
    <row r="15" customFormat="false" ht="15" hidden="false" customHeight="false" outlineLevel="0" collapsed="false">
      <c r="A15" s="19" t="s">
        <v>133</v>
      </c>
      <c r="B15" s="20" t="n">
        <f aca="false">COUNTIF('Master keyword list'!C2:C101,A15)</f>
        <v>16</v>
      </c>
      <c r="C15" s="20" t="n">
        <f aca="false">SUMIF('Master keyword list'!C2:C101,A15,'Master keyword list'!D2:D101)</f>
        <v>39620</v>
      </c>
      <c r="D15" s="21" t="n">
        <f aca="false">AVERAGEIF('Master keyword list'!C2:C101,A15,'Master keyword list'!E2:E101)</f>
        <v>0.403125</v>
      </c>
      <c r="E15" s="19" t="s">
        <v>295</v>
      </c>
    </row>
    <row r="16" customFormat="false" ht="15" hidden="false" customHeight="false" outlineLevel="0" collapsed="false">
      <c r="A16" s="19" t="s">
        <v>268</v>
      </c>
      <c r="B16" s="20" t="n">
        <f aca="false">COUNTIF('Master keyword list'!C2:C101,A16)</f>
        <v>2</v>
      </c>
      <c r="C16" s="20" t="n">
        <f aca="false">SUMIF('Master keyword list'!C2:C101,A16,'Master keyword list'!D2:D101)</f>
        <v>20</v>
      </c>
      <c r="D16" s="21" t="n">
        <f aca="false">AVERAGEIF('Master keyword list'!C2:C101,A16,'Master keyword list'!E2:E101)</f>
        <v>0.495</v>
      </c>
      <c r="E16" s="19" t="s">
        <v>296</v>
      </c>
    </row>
    <row r="17" customFormat="false" ht="15" hidden="false" customHeight="false" outlineLevel="0" collapsed="false">
      <c r="A17" s="22" t="s">
        <v>297</v>
      </c>
      <c r="B17" s="23" t="n">
        <f aca="false">SUM(B5:B16)</f>
        <v>100</v>
      </c>
      <c r="C17" s="23" t="n">
        <f aca="false">SUM(C5:C16)</f>
        <v>121430</v>
      </c>
      <c r="D17" s="24" t="n">
        <f aca="false">AVERAGE('Master keyword list'!E2:E101)</f>
        <v>0.4175</v>
      </c>
      <c r="E17" s="25"/>
    </row>
    <row r="19" customFormat="false" ht="17.35" hidden="false" customHeight="false" outlineLevel="0" collapsed="false">
      <c r="A19" s="17" t="s">
        <v>298</v>
      </c>
    </row>
    <row r="20" customFormat="false" ht="36" hidden="false" customHeight="true" outlineLevel="0" collapsed="false">
      <c r="A20" s="1" t="s">
        <v>0</v>
      </c>
      <c r="B20" s="1" t="s">
        <v>299</v>
      </c>
      <c r="C20" s="1" t="s">
        <v>281</v>
      </c>
      <c r="D20" s="1" t="s">
        <v>282</v>
      </c>
      <c r="E20" s="1" t="s">
        <v>283</v>
      </c>
    </row>
    <row r="21" customFormat="false" ht="68.65" hidden="false" customHeight="false" outlineLevel="0" collapsed="false">
      <c r="A21" s="26" t="s">
        <v>10</v>
      </c>
      <c r="B21" s="19" t="s">
        <v>300</v>
      </c>
      <c r="C21" s="20" t="n">
        <f aca="false">COUNTIF('Master keyword list'!A2:A101,A21)</f>
        <v>21</v>
      </c>
      <c r="D21" s="20" t="n">
        <f aca="false">SUMIF('Master keyword list'!A2:A101,A21,'Master keyword list'!D2:D101)</f>
        <v>74180</v>
      </c>
      <c r="E21" s="21" t="n">
        <f aca="false">AVERAGEIF('Master keyword list'!A2:A101,A21,'Master keyword list'!E2:E101)</f>
        <v>0.51952380952381</v>
      </c>
    </row>
    <row r="22" customFormat="false" ht="79.85" hidden="false" customHeight="false" outlineLevel="0" collapsed="false">
      <c r="A22" s="26" t="s">
        <v>63</v>
      </c>
      <c r="B22" s="19" t="s">
        <v>301</v>
      </c>
      <c r="C22" s="20" t="n">
        <f aca="false">COUNTIF('Master keyword list'!A2:A101,A22)</f>
        <v>32</v>
      </c>
      <c r="D22" s="20" t="n">
        <f aca="false">SUMIF('Master keyword list'!A2:A101,A22,'Master keyword list'!D2:D101)</f>
        <v>34960</v>
      </c>
      <c r="E22" s="21" t="n">
        <f aca="false">AVERAGEIF('Master keyword list'!A2:A101,A22,'Master keyword list'!E2:E101)</f>
        <v>0.4275</v>
      </c>
    </row>
    <row r="23" customFormat="false" ht="68.65" hidden="false" customHeight="false" outlineLevel="0" collapsed="false">
      <c r="A23" s="26" t="s">
        <v>106</v>
      </c>
      <c r="B23" s="19" t="s">
        <v>302</v>
      </c>
      <c r="C23" s="20" t="n">
        <f aca="false">COUNTIF('Master keyword list'!A2:A101,A23)</f>
        <v>47</v>
      </c>
      <c r="D23" s="20" t="n">
        <f aca="false">SUMIF('Master keyword list'!A2:A101,A23,'Master keyword list'!D2:D101)</f>
        <v>12290</v>
      </c>
      <c r="E23" s="21" t="n">
        <f aca="false">AVERAGEIF('Master keyword list'!A2:A101,A23,'Master keyword list'!E2:E101)</f>
        <v>0.365106382978723</v>
      </c>
    </row>
    <row r="25" customFormat="false" ht="15" hidden="false" customHeight="false" outlineLevel="0" collapsed="false">
      <c r="A25" s="27" t="s">
        <v>303</v>
      </c>
    </row>
    <row r="26" customFormat="false" ht="69.75" hidden="false" customHeight="true" outlineLevel="0" collapsed="false">
      <c r="A26" s="28" t="s">
        <v>304</v>
      </c>
      <c r="B26" s="28"/>
      <c r="C26" s="28"/>
      <c r="D26" s="28"/>
      <c r="E26" s="28"/>
    </row>
  </sheetData>
  <mergeCells count="1">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2026-05-12T23:33:01Z</dcterms:created>
  <dc:creator>openpyxl</dc:creator>
  <dc:description/>
  <dc:language>en-US</dc:language>
  <cp:lastModifiedBy/>
  <dcterms:modified xsi:type="dcterms:W3CDTF">2026-05-12T23:33:01Z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